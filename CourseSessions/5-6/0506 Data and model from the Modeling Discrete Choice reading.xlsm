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16035" windowHeight="8160"/>
  </bookViews>
  <sheets>
    <sheet name="Data" sheetId="2" r:id="rId1"/>
    <sheet name="Linear" sheetId="3" r:id="rId2"/>
    <sheet name="Logit" sheetId="1" r:id="rId3"/>
    <sheet name="_STDS_DG2402595D" sheetId="4" state="hidden" r:id="rId4"/>
  </sheets>
  <definedNames>
    <definedName name="PalisadeReportWorkbookCreatedBy" hidden="1">"StatTools"</definedName>
    <definedName name="solver_adj" localSheetId="2" hidden="1">Logit!$G$1</definedName>
    <definedName name="solver_adj_ob" localSheetId="2" hidden="1">1</definedName>
    <definedName name="solver_adj_ob1" localSheetId="2" hidden="1">1</definedName>
    <definedName name="solver_adj1" localSheetId="2" hidden="1">Logit!$G$2</definedName>
    <definedName name="solver_cha" localSheetId="2" hidden="1">0</definedName>
    <definedName name="solver_chc1" localSheetId="2" hidden="1">0</definedName>
    <definedName name="solver_chc2" localSheetId="2" hidden="1">0</definedName>
    <definedName name="solver_chc3" localSheetId="2" hidden="1">0</definedName>
    <definedName name="solver_chc4" localSheetId="2" hidden="1">0</definedName>
    <definedName name="solver_chn" localSheetId="2" hidden="1">4</definedName>
    <definedName name="solver_chp1" localSheetId="2" hidden="1">0</definedName>
    <definedName name="solver_chp2" localSheetId="2" hidden="1">0</definedName>
    <definedName name="solver_chp3" localSheetId="2" hidden="1">0</definedName>
    <definedName name="solver_chp4" localSheetId="2" hidden="1">0</definedName>
    <definedName name="solver_cht" localSheetId="2" hidden="1">0</definedName>
    <definedName name="solver_cir1" localSheetId="2" hidden="1">1</definedName>
    <definedName name="solver_cir2" localSheetId="2" hidden="1">1</definedName>
    <definedName name="solver_cir3" localSheetId="2" hidden="1">1</definedName>
    <definedName name="solver_cir4" localSheetId="2" hidden="1">1</definedName>
    <definedName name="solver_con" localSheetId="2" hidden="1">" "</definedName>
    <definedName name="solver_con1" localSheetId="2" hidden="1">" "</definedName>
    <definedName name="solver_con2" localSheetId="2" hidden="1">" "</definedName>
    <definedName name="solver_con3" localSheetId="2" hidden="1">" "</definedName>
    <definedName name="solver_con4" localSheetId="2" hidden="1">" "</definedName>
    <definedName name="solver_dia" localSheetId="2" hidden="1">5</definedName>
    <definedName name="solver_iao" localSheetId="2" hidden="1">0</definedName>
    <definedName name="solver_int" localSheetId="2" hidden="1">0</definedName>
    <definedName name="solver_irs" localSheetId="2" hidden="1">0</definedName>
    <definedName name="solver_ism" localSheetId="2" hidden="1">0</definedName>
    <definedName name="solver_lhs_ob1" localSheetId="2" hidden="1">0</definedName>
    <definedName name="solver_lhs_ob2" localSheetId="2" hidden="1">0</definedName>
    <definedName name="solver_lhs_ob3" localSheetId="2" hidden="1">0</definedName>
    <definedName name="solver_lhs_ob4" localSheetId="2" hidden="1">0</definedName>
    <definedName name="solver_lhs1" localSheetId="2" hidden="1">Logit!$G$1</definedName>
    <definedName name="solver_lhs2" localSheetId="2" hidden="1">Logit!$G$1</definedName>
    <definedName name="solver_lhs3" localSheetId="2" hidden="1">Logit!$G$2</definedName>
    <definedName name="solver_lhs4" localSheetId="2" hidden="1">Logit!$G$2</definedName>
    <definedName name="solver_mda" localSheetId="2" hidden="1">4</definedName>
    <definedName name="solver_mod" localSheetId="2" hidden="1">3</definedName>
    <definedName name="solver_msl" localSheetId="2" hidden="1">1</definedName>
    <definedName name="solver_ntr" localSheetId="2" hidden="1">0</definedName>
    <definedName name="solver_ntri" hidden="1">1000</definedName>
    <definedName name="solver_num" localSheetId="2" hidden="1">4</definedName>
    <definedName name="solver_obc" localSheetId="2" hidden="1">0</definedName>
    <definedName name="solver_obp" localSheetId="2" hidden="1">0</definedName>
    <definedName name="solver_opt" localSheetId="2" hidden="1">Logit!$I$40</definedName>
    <definedName name="solver_opt_ob" localSheetId="2" hidden="1">1</definedName>
    <definedName name="solver_psi" localSheetId="2" hidden="1">0</definedName>
    <definedName name="solver_rdp" localSheetId="2" hidden="1">0</definedName>
    <definedName name="solver_reco1" localSheetId="2" hidden="1">0</definedName>
    <definedName name="solver_reco2" localSheetId="2" hidden="1">0</definedName>
    <definedName name="solver_reco3" localSheetId="2" hidden="1">0</definedName>
    <definedName name="solver_reco4" localSheetId="2" hidden="1">0</definedName>
    <definedName name="solver_rel1" localSheetId="2" hidden="1">1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hs1" localSheetId="2" hidden="1">0.01</definedName>
    <definedName name="solver_rhs2" localSheetId="2" hidden="1">-0.01</definedName>
    <definedName name="solver_rhs3" localSheetId="2" hidden="1">1</definedName>
    <definedName name="solver_rhs4" localSheetId="2" hidden="1">-1</definedName>
    <definedName name="solver_rlx" localSheetId="2" hidden="1">0</definedName>
    <definedName name="solver_rsmp" hidden="1">2</definedName>
    <definedName name="solver_rtr" localSheetId="2" hidden="1">0</definedName>
    <definedName name="solver_rxc1" localSheetId="2" hidden="1">0</definedName>
    <definedName name="solver_rxc2" localSheetId="2" hidden="1">0</definedName>
    <definedName name="solver_rxc3" localSheetId="2" hidden="1">0</definedName>
    <definedName name="solver_rxc4" localSheetId="2" hidden="1">0</definedName>
    <definedName name="solver_rxv" localSheetId="2" hidden="1">1</definedName>
    <definedName name="solver_rxv1" localSheetId="2" hidden="1">1</definedName>
    <definedName name="solver_seed" hidden="1">0</definedName>
    <definedName name="solver_sel" localSheetId="2" hidden="1">1</definedName>
    <definedName name="solver_slv" localSheetId="2" hidden="1">0</definedName>
    <definedName name="solver_slvu" localSheetId="2" hidden="1">0</definedName>
    <definedName name="solver_spid" localSheetId="2" hidden="1">" "</definedName>
    <definedName name="solver_srvr" localSheetId="2" hidden="1">" "</definedName>
    <definedName name="solver_typ" localSheetId="2" hidden="1">1</definedName>
    <definedName name="solver_umod" localSheetId="2" hidden="1">1</definedName>
    <definedName name="solver_urs" localSheetId="2" hidden="1">0</definedName>
    <definedName name="solver_val" localSheetId="2" hidden="1">0</definedName>
    <definedName name="solver_var" localSheetId="2" hidden="1">" "</definedName>
    <definedName name="solver_var1" localSheetId="2" hidden="1">" "</definedName>
    <definedName name="solver_ver" localSheetId="2" hidden="1">15</definedName>
    <definedName name="solver_vir" localSheetId="2" hidden="1">1</definedName>
    <definedName name="solver_vir1" localSheetId="2" hidden="1">1</definedName>
    <definedName name="solver_vol" localSheetId="2" hidden="1">0</definedName>
    <definedName name="solver_vst" localSheetId="2" hidden="1">0</definedName>
    <definedName name="solver_vst1" localSheetId="2" hidden="1">0</definedName>
    <definedName name="ST_Choice">Linear!$C$2:$C$36</definedName>
    <definedName name="ST_Dummy">Linear!$D$2:$D$36</definedName>
    <definedName name="ST_GMAT">Linear!$B$2:$B$36</definedName>
    <definedName name="ST_ID">Linear!$A$2:$A$36</definedName>
    <definedName name="STWBD_StatToolsLogistic_HasDefaultInfo" hidden="1">"TRUE"</definedName>
    <definedName name="STWBD_StatToolsLogistic_IncludeClassificationResults" hidden="1">"FALSE"</definedName>
    <definedName name="STWBD_StatToolsLogistic_IncludeClassificationSummary" hidden="1">"TRUE"</definedName>
    <definedName name="STWBD_StatToolsLogistic_IncludePrediction" hidden="1">"FALSE"</definedName>
    <definedName name="STWBD_StatToolsLogistic_LogisticRegressionType" hidden="1">" 0"</definedName>
    <definedName name="STWBD_StatToolsLogistic_VariableDependent" hidden="1">"U_x0001_VGD09E09C35F06132_x0001_"</definedName>
    <definedName name="STWBD_StatToolsLogistic_VariableListIndependent" hidden="1">1</definedName>
    <definedName name="STWBD_StatToolsLogistic_VariableListIndependent_1" hidden="1">"U_x0001_VG33E2F94330195A2_x0001_"</definedName>
    <definedName name="STWBD_StatToolsLogistic_VarSelectorDefaultDataSet" hidden="1">"DG2402595D"</definedName>
    <definedName name="STWBD_StatToolsRegression_blockList" hidden="1">"-1"</definedName>
    <definedName name="STWBD_StatToolsRegression_ConfidenceLevel" hidden="1">" .95"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"FALSE"</definedName>
    <definedName name="STWBD_StatToolsRegression_GraphFittedValueVsXValue" hidden="1">"FALSE"</definedName>
    <definedName name="STWBD_StatToolsRegression_GraphResidualVsFittedValue" hidden="1">"FALSE"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"FALSE"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0"</definedName>
    <definedName name="STWBD_StatToolsRegression_throughOrigin" hidden="1">"FALSE"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"U_x0001_VGD09E09C35F06132_x0001_"</definedName>
    <definedName name="STWBD_StatToolsRegression_VariableListIndependent" hidden="1">1</definedName>
    <definedName name="STWBD_StatToolsRegression_VariableListIndependent_1" hidden="1">"U_x0001_VG33E2F94330195A2_x0001_"</definedName>
    <definedName name="STWBD_StatToolsRegression_VarSelectorDefaultDataSet" hidden="1">"DG2402595D"</definedName>
  </definedNames>
  <calcPr calcId="162913"/>
</workbook>
</file>

<file path=xl/calcChain.xml><?xml version="1.0" encoding="utf-8"?>
<calcChain xmlns="http://schemas.openxmlformats.org/spreadsheetml/2006/main">
  <c r="B9" i="4" l="1"/>
  <c r="J34" i="3"/>
  <c r="B19" i="4"/>
  <c r="B16" i="4"/>
  <c r="B13" i="4"/>
  <c r="B7" i="4"/>
  <c r="B3" i="4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B22" i="4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E38" i="1"/>
  <c r="F38" i="1"/>
  <c r="G38" i="1"/>
  <c r="D38" i="1"/>
  <c r="E37" i="1"/>
  <c r="F37" i="1"/>
  <c r="G37" i="1"/>
  <c r="D37" i="1"/>
  <c r="E36" i="1"/>
  <c r="F36" i="1"/>
  <c r="G36" i="1"/>
  <c r="D36" i="1"/>
  <c r="E35" i="1"/>
  <c r="F35" i="1"/>
  <c r="G35" i="1"/>
  <c r="D35" i="1"/>
  <c r="E34" i="1"/>
  <c r="F34" i="1"/>
  <c r="G34" i="1"/>
  <c r="D34" i="1"/>
  <c r="E33" i="1"/>
  <c r="F33" i="1"/>
  <c r="G33" i="1"/>
  <c r="D33" i="1"/>
  <c r="E32" i="1"/>
  <c r="F32" i="1"/>
  <c r="G32" i="1"/>
  <c r="D32" i="1"/>
  <c r="E31" i="1"/>
  <c r="F31" i="1"/>
  <c r="G31" i="1"/>
  <c r="D31" i="1"/>
  <c r="E30" i="1"/>
  <c r="F30" i="1"/>
  <c r="G30" i="1"/>
  <c r="D30" i="1"/>
  <c r="E29" i="1"/>
  <c r="F29" i="1"/>
  <c r="G29" i="1"/>
  <c r="D29" i="1"/>
  <c r="E28" i="1"/>
  <c r="F28" i="1"/>
  <c r="G28" i="1"/>
  <c r="D28" i="1"/>
  <c r="E27" i="1"/>
  <c r="F27" i="1"/>
  <c r="G27" i="1"/>
  <c r="D27" i="1"/>
  <c r="E26" i="1"/>
  <c r="F26" i="1"/>
  <c r="G26" i="1"/>
  <c r="D26" i="1"/>
  <c r="E25" i="1"/>
  <c r="F25" i="1"/>
  <c r="G25" i="1"/>
  <c r="D25" i="1"/>
  <c r="E24" i="1"/>
  <c r="F24" i="1"/>
  <c r="G24" i="1"/>
  <c r="D24" i="1"/>
  <c r="E23" i="1"/>
  <c r="F23" i="1"/>
  <c r="G23" i="1"/>
  <c r="D23" i="1"/>
  <c r="E22" i="1"/>
  <c r="F22" i="1"/>
  <c r="G22" i="1"/>
  <c r="D22" i="1"/>
  <c r="E21" i="1"/>
  <c r="F21" i="1"/>
  <c r="G21" i="1"/>
  <c r="D21" i="1"/>
  <c r="E20" i="1"/>
  <c r="F20" i="1"/>
  <c r="G20" i="1"/>
  <c r="D20" i="1"/>
  <c r="E19" i="1"/>
  <c r="F19" i="1"/>
  <c r="G19" i="1"/>
  <c r="D19" i="1"/>
  <c r="E18" i="1"/>
  <c r="F18" i="1"/>
  <c r="G18" i="1"/>
  <c r="D18" i="1"/>
  <c r="E17" i="1"/>
  <c r="F17" i="1"/>
  <c r="G17" i="1"/>
  <c r="D17" i="1"/>
  <c r="E16" i="1"/>
  <c r="F16" i="1"/>
  <c r="G16" i="1"/>
  <c r="D16" i="1"/>
  <c r="E15" i="1"/>
  <c r="F15" i="1"/>
  <c r="G15" i="1"/>
  <c r="D15" i="1"/>
  <c r="E14" i="1"/>
  <c r="F14" i="1"/>
  <c r="G14" i="1"/>
  <c r="D14" i="1"/>
  <c r="E13" i="1"/>
  <c r="F13" i="1"/>
  <c r="G13" i="1"/>
  <c r="D13" i="1"/>
  <c r="E12" i="1"/>
  <c r="F12" i="1"/>
  <c r="G12" i="1"/>
  <c r="D12" i="1"/>
  <c r="E11" i="1"/>
  <c r="F11" i="1"/>
  <c r="G11" i="1"/>
  <c r="D11" i="1"/>
  <c r="E10" i="1"/>
  <c r="F10" i="1"/>
  <c r="G10" i="1"/>
  <c r="D10" i="1"/>
  <c r="E9" i="1"/>
  <c r="F9" i="1"/>
  <c r="G9" i="1"/>
  <c r="D9" i="1"/>
  <c r="E8" i="1"/>
  <c r="F8" i="1"/>
  <c r="G8" i="1"/>
  <c r="D8" i="1"/>
  <c r="E7" i="1"/>
  <c r="F7" i="1"/>
  <c r="G7" i="1"/>
  <c r="D7" i="1"/>
  <c r="E6" i="1"/>
  <c r="F6" i="1"/>
  <c r="G6" i="1"/>
  <c r="D6" i="1"/>
  <c r="E5" i="1"/>
  <c r="F5" i="1"/>
  <c r="G5" i="1"/>
  <c r="D5" i="1"/>
  <c r="E4" i="1"/>
  <c r="F4" i="1"/>
  <c r="G4" i="1"/>
  <c r="D4" i="1"/>
  <c r="H6" i="1"/>
  <c r="I6" i="1"/>
  <c r="H10" i="1"/>
  <c r="I10" i="1"/>
  <c r="H12" i="1"/>
  <c r="I12" i="1"/>
  <c r="H16" i="1"/>
  <c r="I16" i="1"/>
  <c r="H20" i="1"/>
  <c r="I20" i="1"/>
  <c r="H22" i="1"/>
  <c r="I22" i="1"/>
  <c r="H8" i="1"/>
  <c r="I8" i="1"/>
  <c r="H14" i="1"/>
  <c r="I14" i="1"/>
  <c r="H18" i="1"/>
  <c r="I18" i="1"/>
  <c r="H24" i="1"/>
  <c r="I24" i="1"/>
  <c r="H29" i="1"/>
  <c r="I29" i="1"/>
  <c r="H37" i="1"/>
  <c r="I37" i="1"/>
  <c r="H4" i="1"/>
  <c r="I4" i="1"/>
  <c r="H25" i="1"/>
  <c r="I25" i="1"/>
  <c r="H33" i="1"/>
  <c r="I33" i="1"/>
  <c r="H26" i="1"/>
  <c r="I26" i="1"/>
  <c r="H30" i="1"/>
  <c r="I30" i="1"/>
  <c r="H34" i="1"/>
  <c r="I34" i="1"/>
  <c r="H7" i="1"/>
  <c r="I7" i="1"/>
  <c r="H23" i="1"/>
  <c r="I23" i="1"/>
  <c r="H27" i="1"/>
  <c r="I27" i="1"/>
  <c r="H31" i="1"/>
  <c r="I31" i="1"/>
  <c r="H35" i="1"/>
  <c r="I35" i="1"/>
  <c r="H38" i="1"/>
  <c r="I38" i="1"/>
  <c r="H5" i="1"/>
  <c r="I5" i="1"/>
  <c r="H9" i="1"/>
  <c r="I9" i="1"/>
  <c r="H11" i="1"/>
  <c r="I11" i="1"/>
  <c r="H13" i="1"/>
  <c r="I13" i="1"/>
  <c r="H15" i="1"/>
  <c r="I15" i="1"/>
  <c r="H17" i="1"/>
  <c r="I17" i="1"/>
  <c r="H19" i="1"/>
  <c r="I19" i="1"/>
  <c r="H21" i="1"/>
  <c r="I21" i="1"/>
  <c r="H28" i="1"/>
  <c r="I28" i="1"/>
  <c r="H32" i="1"/>
  <c r="I32" i="1"/>
  <c r="H36" i="1"/>
  <c r="I36" i="1"/>
  <c r="I40" i="1"/>
</calcChain>
</file>

<file path=xl/sharedStrings.xml><?xml version="1.0" encoding="utf-8"?>
<sst xmlns="http://schemas.openxmlformats.org/spreadsheetml/2006/main" count="233" uniqueCount="106">
  <si>
    <t>ID</t>
  </si>
  <si>
    <t>GMAT</t>
  </si>
  <si>
    <t>Choice</t>
  </si>
  <si>
    <t>D</t>
  </si>
  <si>
    <t>H</t>
  </si>
  <si>
    <t>Dummy</t>
  </si>
  <si>
    <t>Multiple Regression for Dummy</t>
  </si>
  <si>
    <t>Multiple</t>
  </si>
  <si>
    <t>R-Square</t>
  </si>
  <si>
    <t>Adjusted</t>
  </si>
  <si>
    <t xml:space="preserve">StErr of </t>
  </si>
  <si>
    <t>Summary</t>
  </si>
  <si>
    <t>R</t>
  </si>
  <si>
    <t>Estimate</t>
  </si>
  <si>
    <t>Degrees of</t>
  </si>
  <si>
    <t xml:space="preserve">Sum of </t>
  </si>
  <si>
    <t xml:space="preserve">Mean of </t>
  </si>
  <si>
    <t>F-Ratio</t>
  </si>
  <si>
    <t>p-Value</t>
  </si>
  <si>
    <t>ANOVA Table</t>
  </si>
  <si>
    <t>Freedom</t>
  </si>
  <si>
    <t>Squares</t>
  </si>
  <si>
    <t>Explained</t>
  </si>
  <si>
    <t>Unexplained</t>
  </si>
  <si>
    <t>Coefficient</t>
  </si>
  <si>
    <t>Standard</t>
  </si>
  <si>
    <t>t-Value</t>
  </si>
  <si>
    <t>Confidence Interval 95%</t>
  </si>
  <si>
    <t>Regression Table</t>
  </si>
  <si>
    <t>Error</t>
  </si>
  <si>
    <t>Lower</t>
  </si>
  <si>
    <t>Upper</t>
  </si>
  <si>
    <t>Constant</t>
  </si>
  <si>
    <t>Forecast for GMAT of</t>
  </si>
  <si>
    <t xml:space="preserve"> = </t>
  </si>
  <si>
    <t>uH=a*GMAT+b</t>
  </si>
  <si>
    <t>a=</t>
  </si>
  <si>
    <t>Logistic Regression for Dummy</t>
  </si>
  <si>
    <t>b=</t>
  </si>
  <si>
    <t>Summary Measures</t>
  </si>
  <si>
    <t/>
  </si>
  <si>
    <t>uH</t>
  </si>
  <si>
    <t>EXP(uH)</t>
  </si>
  <si>
    <t>Prob(H is chosen)</t>
  </si>
  <si>
    <t>Likelihood</t>
  </si>
  <si>
    <t>Log(Likelihood)</t>
  </si>
  <si>
    <t>Null Deviance</t>
  </si>
  <si>
    <t>Model Deviance</t>
  </si>
  <si>
    <t>Improvement</t>
  </si>
  <si>
    <t>Wald</t>
  </si>
  <si>
    <t>Exp(Coef)</t>
  </si>
  <si>
    <t>Regression Coefficients</t>
  </si>
  <si>
    <t>Value</t>
  </si>
  <si>
    <t>Limit</t>
  </si>
  <si>
    <t>Percent</t>
  </si>
  <si>
    <t>Classification Matrix</t>
  </si>
  <si>
    <t>Correct</t>
  </si>
  <si>
    <t>Summary Classification</t>
  </si>
  <si>
    <t>Base</t>
  </si>
  <si>
    <t>Total Log-likelihood</t>
  </si>
  <si>
    <t>Name</t>
  </si>
  <si>
    <t>H-D data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</si>
  <si>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</si>
  <si>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</si>
  <si>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</si>
  <si>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</si>
  <si>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</si>
  <si>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</si>
  <si>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</si>
  <si>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</si>
  <si>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</si>
  <si>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GUID</t>
  </si>
  <si>
    <t>DG2402595D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</si>
  <si>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</si>
  <si>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</si>
  <si>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</si>
  <si>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</si>
  <si>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</si>
  <si>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</si>
  <si>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</si>
  <si>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</si>
  <si>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</si>
  <si>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</si>
  <si>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VGB378E491DDEDE24</t>
  </si>
  <si>
    <t>var1</t>
  </si>
  <si>
    <t>ST_ID</t>
  </si>
  <si>
    <t>1 : Ranges</t>
  </si>
  <si>
    <t>1 : MultiRefs</t>
  </si>
  <si>
    <t>2 : Info</t>
  </si>
  <si>
    <t>VG33E2F94330195A2</t>
  </si>
  <si>
    <t>var2</t>
  </si>
  <si>
    <t>ST_GMAT</t>
  </si>
  <si>
    <t>2 : Ranges</t>
  </si>
  <si>
    <t>2 : MultiRefs</t>
  </si>
  <si>
    <t>3 : Info</t>
  </si>
  <si>
    <t>VGF405A3F4CD3E73</t>
  </si>
  <si>
    <t>var3</t>
  </si>
  <si>
    <t>ST_Choice</t>
  </si>
  <si>
    <t>3 : Ranges</t>
  </si>
  <si>
    <t>3 : MultiRefs</t>
  </si>
  <si>
    <t>4 : Info</t>
  </si>
  <si>
    <t>VGD09E09C35F06132</t>
  </si>
  <si>
    <t>var4</t>
  </si>
  <si>
    <t>ST_Dummy</t>
  </si>
  <si>
    <t>4 : Ranges</t>
  </si>
  <si>
    <t>4 : MultiRefs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</si>
</sst>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[&lt;0.0001]&quot;&lt; 0.0001&quot;;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Font="1" applyBorder="1" applyAlignment="1">
      <alignment horizontal="center" wrapText="1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49" fontId="2" fillId="0" borderId="2" xfId="0" applyNumberFormat="1" applyFont="1" applyFill="1" applyBorder="1" applyAlignment="1">
      <alignment horizontal="center"/>
    </xf>
    <xf numFmtId="49" fontId="2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49" fontId="3" fillId="0" borderId="2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left"/>
    </xf>
    <xf numFmtId="10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9302274715662"/>
          <c:y val="7.407407407407407E-2"/>
          <c:w val="0.78525845727617383"/>
          <c:h val="0.65763050452026828"/>
        </c:manualLayout>
      </c:layout>
      <c:scatterChart>
        <c:scatterStyle val="lineMarker"/>
        <c:varyColors val="0"/>
        <c:ser>
          <c:idx val="0"/>
          <c:order val="0"/>
          <c:tx>
            <c:strRef>
              <c:f>Linear!$C$1</c:f>
              <c:strCache>
                <c:ptCount val="1"/>
                <c:pt idx="0">
                  <c:v>Choice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5209919072615924"/>
                  <c:y val="0.25413091055925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Linear!$B$2:$B$36</c:f>
              <c:numCache>
                <c:formatCode>General</c:formatCode>
                <c:ptCount val="35"/>
                <c:pt idx="0">
                  <c:v>655</c:v>
                </c:pt>
                <c:pt idx="1">
                  <c:v>660</c:v>
                </c:pt>
                <c:pt idx="2">
                  <c:v>660</c:v>
                </c:pt>
                <c:pt idx="3">
                  <c:v>662</c:v>
                </c:pt>
                <c:pt idx="4">
                  <c:v>662</c:v>
                </c:pt>
                <c:pt idx="5">
                  <c:v>674</c:v>
                </c:pt>
                <c:pt idx="6">
                  <c:v>676</c:v>
                </c:pt>
                <c:pt idx="7">
                  <c:v>680</c:v>
                </c:pt>
                <c:pt idx="8">
                  <c:v>680</c:v>
                </c:pt>
                <c:pt idx="9">
                  <c:v>682</c:v>
                </c:pt>
                <c:pt idx="10">
                  <c:v>683</c:v>
                </c:pt>
                <c:pt idx="11">
                  <c:v>687</c:v>
                </c:pt>
                <c:pt idx="12">
                  <c:v>687</c:v>
                </c:pt>
                <c:pt idx="13">
                  <c:v>689</c:v>
                </c:pt>
                <c:pt idx="14">
                  <c:v>692</c:v>
                </c:pt>
                <c:pt idx="15">
                  <c:v>696</c:v>
                </c:pt>
                <c:pt idx="16">
                  <c:v>700</c:v>
                </c:pt>
                <c:pt idx="17">
                  <c:v>701</c:v>
                </c:pt>
                <c:pt idx="18">
                  <c:v>703</c:v>
                </c:pt>
                <c:pt idx="19">
                  <c:v>708</c:v>
                </c:pt>
                <c:pt idx="20">
                  <c:v>708</c:v>
                </c:pt>
                <c:pt idx="21">
                  <c:v>710</c:v>
                </c:pt>
                <c:pt idx="22">
                  <c:v>719</c:v>
                </c:pt>
                <c:pt idx="23">
                  <c:v>719</c:v>
                </c:pt>
                <c:pt idx="24">
                  <c:v>725</c:v>
                </c:pt>
                <c:pt idx="25">
                  <c:v>727</c:v>
                </c:pt>
                <c:pt idx="26">
                  <c:v>728</c:v>
                </c:pt>
                <c:pt idx="27">
                  <c:v>728</c:v>
                </c:pt>
                <c:pt idx="28">
                  <c:v>731</c:v>
                </c:pt>
                <c:pt idx="29">
                  <c:v>731</c:v>
                </c:pt>
                <c:pt idx="30">
                  <c:v>737</c:v>
                </c:pt>
                <c:pt idx="31">
                  <c:v>738</c:v>
                </c:pt>
                <c:pt idx="32">
                  <c:v>741</c:v>
                </c:pt>
                <c:pt idx="33">
                  <c:v>747</c:v>
                </c:pt>
                <c:pt idx="34">
                  <c:v>747</c:v>
                </c:pt>
              </c:numCache>
            </c:numRef>
          </c:xVal>
          <c:yVal>
            <c:numRef>
              <c:f>Linear!$D$2:$D$36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97-48E5-A599-01DB4F105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20928"/>
        <c:axId val="91427200"/>
      </c:scatterChart>
      <c:valAx>
        <c:axId val="91420928"/>
        <c:scaling>
          <c:orientation val="minMax"/>
          <c:max val="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GMAT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7200"/>
        <c:crosses val="autoZero"/>
        <c:crossBetween val="midCat"/>
      </c:valAx>
      <c:valAx>
        <c:axId val="9142720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Probability</a:t>
                </a:r>
                <a:r>
                  <a:rPr lang="en-US" sz="1600" b="1" baseline="0"/>
                  <a:t> of c</a:t>
                </a:r>
                <a:r>
                  <a:rPr lang="en-US" sz="1600" b="1"/>
                  <a:t>hoice</a:t>
                </a:r>
              </a:p>
            </c:rich>
          </c:tx>
          <c:layout>
            <c:manualLayout>
              <c:xMode val="edge"/>
              <c:yMode val="edge"/>
              <c:x val="2.2673519976669582E-2"/>
              <c:y val="0.1194227336967494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9302274715662"/>
          <c:y val="7.407407407407407E-2"/>
          <c:w val="0.78525845727617383"/>
          <c:h val="0.65763050452026828"/>
        </c:manualLayout>
      </c:layout>
      <c:scatterChart>
        <c:scatterStyle val="lineMarker"/>
        <c:varyColors val="0"/>
        <c:ser>
          <c:idx val="0"/>
          <c:order val="0"/>
          <c:tx>
            <c:strRef>
              <c:f>Linear!$C$1</c:f>
              <c:strCache>
                <c:ptCount val="1"/>
                <c:pt idx="0">
                  <c:v>Choice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Linear!$B$2:$B$36</c:f>
              <c:numCache>
                <c:formatCode>General</c:formatCode>
                <c:ptCount val="35"/>
                <c:pt idx="0">
                  <c:v>655</c:v>
                </c:pt>
                <c:pt idx="1">
                  <c:v>660</c:v>
                </c:pt>
                <c:pt idx="2">
                  <c:v>660</c:v>
                </c:pt>
                <c:pt idx="3">
                  <c:v>662</c:v>
                </c:pt>
                <c:pt idx="4">
                  <c:v>662</c:v>
                </c:pt>
                <c:pt idx="5">
                  <c:v>674</c:v>
                </c:pt>
                <c:pt idx="6">
                  <c:v>676</c:v>
                </c:pt>
                <c:pt idx="7">
                  <c:v>680</c:v>
                </c:pt>
                <c:pt idx="8">
                  <c:v>680</c:v>
                </c:pt>
                <c:pt idx="9">
                  <c:v>682</c:v>
                </c:pt>
                <c:pt idx="10">
                  <c:v>683</c:v>
                </c:pt>
                <c:pt idx="11">
                  <c:v>687</c:v>
                </c:pt>
                <c:pt idx="12">
                  <c:v>687</c:v>
                </c:pt>
                <c:pt idx="13">
                  <c:v>689</c:v>
                </c:pt>
                <c:pt idx="14">
                  <c:v>692</c:v>
                </c:pt>
                <c:pt idx="15">
                  <c:v>696</c:v>
                </c:pt>
                <c:pt idx="16">
                  <c:v>700</c:v>
                </c:pt>
                <c:pt idx="17">
                  <c:v>701</c:v>
                </c:pt>
                <c:pt idx="18">
                  <c:v>703</c:v>
                </c:pt>
                <c:pt idx="19">
                  <c:v>708</c:v>
                </c:pt>
                <c:pt idx="20">
                  <c:v>708</c:v>
                </c:pt>
                <c:pt idx="21">
                  <c:v>710</c:v>
                </c:pt>
                <c:pt idx="22">
                  <c:v>719</c:v>
                </c:pt>
                <c:pt idx="23">
                  <c:v>719</c:v>
                </c:pt>
                <c:pt idx="24">
                  <c:v>725</c:v>
                </c:pt>
                <c:pt idx="25">
                  <c:v>727</c:v>
                </c:pt>
                <c:pt idx="26">
                  <c:v>728</c:v>
                </c:pt>
                <c:pt idx="27">
                  <c:v>728</c:v>
                </c:pt>
                <c:pt idx="28">
                  <c:v>731</c:v>
                </c:pt>
                <c:pt idx="29">
                  <c:v>731</c:v>
                </c:pt>
                <c:pt idx="30">
                  <c:v>737</c:v>
                </c:pt>
                <c:pt idx="31">
                  <c:v>738</c:v>
                </c:pt>
                <c:pt idx="32">
                  <c:v>741</c:v>
                </c:pt>
                <c:pt idx="33">
                  <c:v>747</c:v>
                </c:pt>
                <c:pt idx="34">
                  <c:v>747</c:v>
                </c:pt>
              </c:numCache>
            </c:numRef>
          </c:xVal>
          <c:yVal>
            <c:numRef>
              <c:f>Linear!$D$2:$D$36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167-4A79-B161-2222AAF63843}"/>
            </c:ext>
          </c:extLst>
        </c:ser>
        <c:ser>
          <c:idx val="1"/>
          <c:order val="1"/>
          <c:tx>
            <c:strRef>
              <c:f>Logit!$G$3</c:f>
              <c:strCache>
                <c:ptCount val="1"/>
                <c:pt idx="0">
                  <c:v>Prob(H is chosen)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Logit!$B$4:$B$38</c:f>
              <c:numCache>
                <c:formatCode>General</c:formatCode>
                <c:ptCount val="35"/>
                <c:pt idx="0">
                  <c:v>655</c:v>
                </c:pt>
                <c:pt idx="1">
                  <c:v>660</c:v>
                </c:pt>
                <c:pt idx="2">
                  <c:v>660</c:v>
                </c:pt>
                <c:pt idx="3">
                  <c:v>662</c:v>
                </c:pt>
                <c:pt idx="4">
                  <c:v>662</c:v>
                </c:pt>
                <c:pt idx="5">
                  <c:v>674</c:v>
                </c:pt>
                <c:pt idx="6">
                  <c:v>676</c:v>
                </c:pt>
                <c:pt idx="7">
                  <c:v>680</c:v>
                </c:pt>
                <c:pt idx="8">
                  <c:v>680</c:v>
                </c:pt>
                <c:pt idx="9">
                  <c:v>682</c:v>
                </c:pt>
                <c:pt idx="10">
                  <c:v>683</c:v>
                </c:pt>
                <c:pt idx="11">
                  <c:v>687</c:v>
                </c:pt>
                <c:pt idx="12">
                  <c:v>687</c:v>
                </c:pt>
                <c:pt idx="13">
                  <c:v>689</c:v>
                </c:pt>
                <c:pt idx="14">
                  <c:v>692</c:v>
                </c:pt>
                <c:pt idx="15">
                  <c:v>696</c:v>
                </c:pt>
                <c:pt idx="16">
                  <c:v>700</c:v>
                </c:pt>
                <c:pt idx="17">
                  <c:v>701</c:v>
                </c:pt>
                <c:pt idx="18">
                  <c:v>703</c:v>
                </c:pt>
                <c:pt idx="19">
                  <c:v>708</c:v>
                </c:pt>
                <c:pt idx="20">
                  <c:v>708</c:v>
                </c:pt>
                <c:pt idx="21">
                  <c:v>710</c:v>
                </c:pt>
                <c:pt idx="22">
                  <c:v>719</c:v>
                </c:pt>
                <c:pt idx="23">
                  <c:v>719</c:v>
                </c:pt>
                <c:pt idx="24">
                  <c:v>725</c:v>
                </c:pt>
                <c:pt idx="25">
                  <c:v>727</c:v>
                </c:pt>
                <c:pt idx="26">
                  <c:v>728</c:v>
                </c:pt>
                <c:pt idx="27">
                  <c:v>728</c:v>
                </c:pt>
                <c:pt idx="28">
                  <c:v>731</c:v>
                </c:pt>
                <c:pt idx="29">
                  <c:v>731</c:v>
                </c:pt>
                <c:pt idx="30">
                  <c:v>737</c:v>
                </c:pt>
                <c:pt idx="31">
                  <c:v>738</c:v>
                </c:pt>
                <c:pt idx="32">
                  <c:v>741</c:v>
                </c:pt>
                <c:pt idx="33">
                  <c:v>747</c:v>
                </c:pt>
                <c:pt idx="34">
                  <c:v>747</c:v>
                </c:pt>
              </c:numCache>
            </c:numRef>
          </c:xVal>
          <c:yVal>
            <c:numRef>
              <c:f>Logit!$G$4:$G$38</c:f>
              <c:numCache>
                <c:formatCode>0.0000</c:formatCode>
                <c:ptCount val="35"/>
                <c:pt idx="0">
                  <c:v>2.3721418042704504E-2</c:v>
                </c:pt>
                <c:pt idx="1">
                  <c:v>3.3062196841291101E-2</c:v>
                </c:pt>
                <c:pt idx="2">
                  <c:v>3.3062196841291101E-2</c:v>
                </c:pt>
                <c:pt idx="3">
                  <c:v>3.7720790303915508E-2</c:v>
                </c:pt>
                <c:pt idx="4">
                  <c:v>3.7720790303915508E-2</c:v>
                </c:pt>
                <c:pt idx="5">
                  <c:v>8.1720954666313961E-2</c:v>
                </c:pt>
                <c:pt idx="6">
                  <c:v>9.2579311532674652E-2</c:v>
                </c:pt>
                <c:pt idx="7">
                  <c:v>0.11823622345595543</c:v>
                </c:pt>
                <c:pt idx="8">
                  <c:v>0.11823622345595543</c:v>
                </c:pt>
                <c:pt idx="9">
                  <c:v>0.1332424054118857</c:v>
                </c:pt>
                <c:pt idx="10">
                  <c:v>0.14133279324069492</c:v>
                </c:pt>
                <c:pt idx="11">
                  <c:v>0.17785278855151651</c:v>
                </c:pt>
                <c:pt idx="12">
                  <c:v>0.17785278855151651</c:v>
                </c:pt>
                <c:pt idx="13">
                  <c:v>0.19872012024760638</c:v>
                </c:pt>
                <c:pt idx="14">
                  <c:v>0.23337747982880977</c:v>
                </c:pt>
                <c:pt idx="15">
                  <c:v>0.2857661705696054</c:v>
                </c:pt>
                <c:pt idx="16">
                  <c:v>0.34462838859755474</c:v>
                </c:pt>
                <c:pt idx="17">
                  <c:v>0.36021974437865045</c:v>
                </c:pt>
                <c:pt idx="18">
                  <c:v>0.39227481591432017</c:v>
                </c:pt>
                <c:pt idx="19">
                  <c:v>0.47598495844358257</c:v>
                </c:pt>
                <c:pt idx="20">
                  <c:v>0.47598495844358257</c:v>
                </c:pt>
                <c:pt idx="21">
                  <c:v>0.51012767970351847</c:v>
                </c:pt>
                <c:pt idx="22">
                  <c:v>0.65823598922566462</c:v>
                </c:pt>
                <c:pt idx="23">
                  <c:v>0.65823598922566462</c:v>
                </c:pt>
                <c:pt idx="24">
                  <c:v>0.74372003917028207</c:v>
                </c:pt>
                <c:pt idx="25">
                  <c:v>0.76888831110063349</c:v>
                </c:pt>
                <c:pt idx="26">
                  <c:v>0.78080604881793558</c:v>
                </c:pt>
                <c:pt idx="27">
                  <c:v>0.78080604881793558</c:v>
                </c:pt>
                <c:pt idx="28">
                  <c:v>0.81386850364542795</c:v>
                </c:pt>
                <c:pt idx="29">
                  <c:v>0.81386850364542795</c:v>
                </c:pt>
                <c:pt idx="30">
                  <c:v>0.86821832153198308</c:v>
                </c:pt>
                <c:pt idx="31">
                  <c:v>0.8758410256400766</c:v>
                </c:pt>
                <c:pt idx="32">
                  <c:v>0.89646944234304848</c:v>
                </c:pt>
                <c:pt idx="33">
                  <c:v>0.9288097847242186</c:v>
                </c:pt>
                <c:pt idx="34">
                  <c:v>0.9288097847242186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167-4A79-B161-2222AAF63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17024"/>
        <c:axId val="92427392"/>
      </c:scatterChart>
      <c:valAx>
        <c:axId val="92417024"/>
        <c:scaling>
          <c:orientation val="minMax"/>
          <c:max val="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GMAT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27392"/>
        <c:crosses val="autoZero"/>
        <c:crossBetween val="midCat"/>
      </c:valAx>
      <c:valAx>
        <c:axId val="9242739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Probability</a:t>
                </a:r>
                <a:r>
                  <a:rPr lang="en-US" sz="1600" b="1" baseline="0"/>
                  <a:t> of c</a:t>
                </a:r>
                <a:r>
                  <a:rPr lang="en-US" sz="1600" b="1"/>
                  <a:t>hoice</a:t>
                </a:r>
              </a:p>
            </c:rich>
          </c:tx>
          <c:layout>
            <c:manualLayout>
              <c:xMode val="edge"/>
              <c:yMode val="edge"/>
              <c:x val="2.2673519976669582E-2"/>
              <c:y val="0.1194227336967494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1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9525</xdr:rowOff>
    </xdr:from>
    <xdr:to>
      <xdr:col>14</xdr:col>
      <xdr:colOff>38100</xdr:colOff>
      <xdr:row>16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28575</xdr:rowOff>
    </xdr:from>
    <xdr:to>
      <xdr:col>18</xdr:col>
      <xdr:colOff>447675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tabSelected="1" workbookViewId="0"/>
  </sheetViews>
  <sheetFormatPr defaultRowHeight="15" x14ac:dyDescent="0.25"/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3">
        <v>1</v>
      </c>
      <c r="B2" s="3">
        <v>655</v>
      </c>
      <c r="C2" s="3" t="s">
        <v>3</v>
      </c>
    </row>
    <row r="3" spans="1:3" x14ac:dyDescent="0.25">
      <c r="A3" s="3">
        <v>2</v>
      </c>
      <c r="B3" s="3">
        <v>660</v>
      </c>
      <c r="C3" s="3" t="s">
        <v>3</v>
      </c>
    </row>
    <row r="4" spans="1:3" x14ac:dyDescent="0.25">
      <c r="A4" s="3">
        <v>3</v>
      </c>
      <c r="B4" s="3">
        <v>660</v>
      </c>
      <c r="C4" s="3" t="s">
        <v>3</v>
      </c>
    </row>
    <row r="5" spans="1:3" x14ac:dyDescent="0.25">
      <c r="A5" s="3">
        <v>4</v>
      </c>
      <c r="B5" s="3">
        <v>662</v>
      </c>
      <c r="C5" s="3" t="s">
        <v>3</v>
      </c>
    </row>
    <row r="6" spans="1:3" x14ac:dyDescent="0.25">
      <c r="A6" s="3">
        <v>5</v>
      </c>
      <c r="B6" s="3">
        <v>662</v>
      </c>
      <c r="C6" s="3" t="s">
        <v>3</v>
      </c>
    </row>
    <row r="7" spans="1:3" x14ac:dyDescent="0.25">
      <c r="A7" s="3">
        <v>6</v>
      </c>
      <c r="B7" s="3">
        <v>674</v>
      </c>
      <c r="C7" s="3" t="s">
        <v>3</v>
      </c>
    </row>
    <row r="8" spans="1:3" x14ac:dyDescent="0.25">
      <c r="A8" s="3">
        <v>7</v>
      </c>
      <c r="B8" s="3">
        <v>676</v>
      </c>
      <c r="C8" s="3" t="s">
        <v>3</v>
      </c>
    </row>
    <row r="9" spans="1:3" x14ac:dyDescent="0.25">
      <c r="A9" s="3">
        <v>8</v>
      </c>
      <c r="B9" s="3">
        <v>680</v>
      </c>
      <c r="C9" s="3" t="s">
        <v>3</v>
      </c>
    </row>
    <row r="10" spans="1:3" x14ac:dyDescent="0.25">
      <c r="A10" s="3">
        <v>9</v>
      </c>
      <c r="B10" s="3">
        <v>680</v>
      </c>
      <c r="C10" s="3" t="s">
        <v>3</v>
      </c>
    </row>
    <row r="11" spans="1:3" x14ac:dyDescent="0.25">
      <c r="A11" s="3">
        <v>10</v>
      </c>
      <c r="B11" s="3">
        <v>682</v>
      </c>
      <c r="C11" s="3" t="s">
        <v>3</v>
      </c>
    </row>
    <row r="12" spans="1:3" x14ac:dyDescent="0.25">
      <c r="A12" s="3">
        <v>11</v>
      </c>
      <c r="B12" s="3">
        <v>683</v>
      </c>
      <c r="C12" s="3" t="s">
        <v>3</v>
      </c>
    </row>
    <row r="13" spans="1:3" x14ac:dyDescent="0.25">
      <c r="A13" s="3">
        <v>12</v>
      </c>
      <c r="B13" s="3">
        <v>687</v>
      </c>
      <c r="C13" s="3" t="s">
        <v>4</v>
      </c>
    </row>
    <row r="14" spans="1:3" x14ac:dyDescent="0.25">
      <c r="A14" s="3">
        <v>13</v>
      </c>
      <c r="B14" s="3">
        <v>687</v>
      </c>
      <c r="C14" s="3" t="s">
        <v>3</v>
      </c>
    </row>
    <row r="15" spans="1:3" x14ac:dyDescent="0.25">
      <c r="A15" s="3">
        <v>14</v>
      </c>
      <c r="B15" s="3">
        <v>689</v>
      </c>
      <c r="C15" s="3" t="s">
        <v>3</v>
      </c>
    </row>
    <row r="16" spans="1:3" x14ac:dyDescent="0.25">
      <c r="A16" s="3">
        <v>15</v>
      </c>
      <c r="B16" s="3">
        <v>692</v>
      </c>
      <c r="C16" s="3" t="s">
        <v>3</v>
      </c>
    </row>
    <row r="17" spans="1:3" x14ac:dyDescent="0.25">
      <c r="A17" s="3">
        <v>16</v>
      </c>
      <c r="B17" s="3">
        <v>696</v>
      </c>
      <c r="C17" s="3" t="s">
        <v>4</v>
      </c>
    </row>
    <row r="18" spans="1:3" x14ac:dyDescent="0.25">
      <c r="A18" s="3">
        <v>17</v>
      </c>
      <c r="B18" s="3">
        <v>700</v>
      </c>
      <c r="C18" s="3" t="s">
        <v>4</v>
      </c>
    </row>
    <row r="19" spans="1:3" x14ac:dyDescent="0.25">
      <c r="A19" s="3">
        <v>18</v>
      </c>
      <c r="B19" s="3">
        <v>701</v>
      </c>
      <c r="C19" s="3" t="s">
        <v>3</v>
      </c>
    </row>
    <row r="20" spans="1:3" x14ac:dyDescent="0.25">
      <c r="A20" s="3">
        <v>19</v>
      </c>
      <c r="B20" s="3">
        <v>703</v>
      </c>
      <c r="C20" s="3" t="s">
        <v>3</v>
      </c>
    </row>
    <row r="21" spans="1:3" x14ac:dyDescent="0.25">
      <c r="A21" s="3">
        <v>20</v>
      </c>
      <c r="B21" s="3">
        <v>708</v>
      </c>
      <c r="C21" s="3" t="s">
        <v>4</v>
      </c>
    </row>
    <row r="22" spans="1:3" x14ac:dyDescent="0.25">
      <c r="A22" s="3">
        <v>21</v>
      </c>
      <c r="B22" s="3">
        <v>708</v>
      </c>
      <c r="C22" s="3" t="s">
        <v>3</v>
      </c>
    </row>
    <row r="23" spans="1:3" x14ac:dyDescent="0.25">
      <c r="A23" s="3">
        <v>22</v>
      </c>
      <c r="B23" s="3">
        <v>710</v>
      </c>
      <c r="C23" s="3" t="s">
        <v>4</v>
      </c>
    </row>
    <row r="24" spans="1:3" x14ac:dyDescent="0.25">
      <c r="A24" s="3">
        <v>23</v>
      </c>
      <c r="B24" s="3">
        <v>719</v>
      </c>
      <c r="C24" s="3" t="s">
        <v>3</v>
      </c>
    </row>
    <row r="25" spans="1:3" x14ac:dyDescent="0.25">
      <c r="A25" s="3">
        <v>24</v>
      </c>
      <c r="B25" s="3">
        <v>719</v>
      </c>
      <c r="C25" s="3" t="s">
        <v>4</v>
      </c>
    </row>
    <row r="26" spans="1:3" x14ac:dyDescent="0.25">
      <c r="A26" s="3">
        <v>25</v>
      </c>
      <c r="B26" s="3">
        <v>725</v>
      </c>
      <c r="C26" s="3" t="s">
        <v>4</v>
      </c>
    </row>
    <row r="27" spans="1:3" x14ac:dyDescent="0.25">
      <c r="A27" s="3">
        <v>26</v>
      </c>
      <c r="B27" s="3">
        <v>727</v>
      </c>
      <c r="C27" s="3" t="s">
        <v>3</v>
      </c>
    </row>
    <row r="28" spans="1:3" x14ac:dyDescent="0.25">
      <c r="A28" s="3">
        <v>27</v>
      </c>
      <c r="B28" s="3">
        <v>728</v>
      </c>
      <c r="C28" s="3" t="s">
        <v>4</v>
      </c>
    </row>
    <row r="29" spans="1:3" x14ac:dyDescent="0.25">
      <c r="A29" s="3">
        <v>28</v>
      </c>
      <c r="B29" s="3">
        <v>728</v>
      </c>
      <c r="C29" s="3" t="s">
        <v>4</v>
      </c>
    </row>
    <row r="30" spans="1:3" x14ac:dyDescent="0.25">
      <c r="A30" s="3">
        <v>29</v>
      </c>
      <c r="B30" s="3">
        <v>731</v>
      </c>
      <c r="C30" s="3" t="s">
        <v>4</v>
      </c>
    </row>
    <row r="31" spans="1:3" x14ac:dyDescent="0.25">
      <c r="A31" s="3">
        <v>30</v>
      </c>
      <c r="B31" s="3">
        <v>731</v>
      </c>
      <c r="C31" s="3" t="s">
        <v>4</v>
      </c>
    </row>
    <row r="32" spans="1:3" x14ac:dyDescent="0.25">
      <c r="A32" s="3">
        <v>31</v>
      </c>
      <c r="B32" s="3">
        <v>737</v>
      </c>
      <c r="C32" s="3" t="s">
        <v>4</v>
      </c>
    </row>
    <row r="33" spans="1:3" x14ac:dyDescent="0.25">
      <c r="A33" s="3">
        <v>32</v>
      </c>
      <c r="B33" s="3">
        <v>738</v>
      </c>
      <c r="C33" s="3" t="s">
        <v>4</v>
      </c>
    </row>
    <row r="34" spans="1:3" x14ac:dyDescent="0.25">
      <c r="A34" s="3">
        <v>33</v>
      </c>
      <c r="B34" s="3">
        <v>741</v>
      </c>
      <c r="C34" s="3" t="s">
        <v>3</v>
      </c>
    </row>
    <row r="35" spans="1:3" x14ac:dyDescent="0.25">
      <c r="A35" s="3">
        <v>34</v>
      </c>
      <c r="B35" s="3">
        <v>747</v>
      </c>
      <c r="C35" s="3" t="s">
        <v>4</v>
      </c>
    </row>
    <row r="36" spans="1:3" x14ac:dyDescent="0.25">
      <c r="A36" s="3">
        <v>35</v>
      </c>
      <c r="B36" s="3">
        <v>747</v>
      </c>
      <c r="C36" s="3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"/>
  <sheetViews>
    <sheetView workbookViewId="0">
      <selection activeCell="P24" sqref="P24"/>
    </sheetView>
  </sheetViews>
  <sheetFormatPr defaultRowHeight="15" x14ac:dyDescent="0.25"/>
  <cols>
    <col min="17" max="17" width="22.5703125" bestFit="1" customWidth="1"/>
    <col min="18" max="24" width="12.7109375" customWidth="1"/>
  </cols>
  <sheetData>
    <row r="1" spans="1:4" ht="15" customHeight="1" x14ac:dyDescent="0.25">
      <c r="A1" s="3" t="s">
        <v>0</v>
      </c>
      <c r="B1" s="3" t="s">
        <v>1</v>
      </c>
      <c r="C1" s="3" t="s">
        <v>2</v>
      </c>
      <c r="D1" s="3" t="s">
        <v>5</v>
      </c>
    </row>
    <row r="2" spans="1:4" ht="15" customHeight="1" x14ac:dyDescent="0.25">
      <c r="A2" s="3">
        <v>1</v>
      </c>
      <c r="B2" s="3">
        <v>655</v>
      </c>
      <c r="C2" s="3" t="s">
        <v>3</v>
      </c>
      <c r="D2" s="3">
        <f>+IF(C2="D",0,1)</f>
        <v>0</v>
      </c>
    </row>
    <row r="3" spans="1:4" ht="15" customHeight="1" x14ac:dyDescent="0.25">
      <c r="A3" s="3">
        <v>2</v>
      </c>
      <c r="B3" s="3">
        <v>660</v>
      </c>
      <c r="C3" s="3" t="s">
        <v>3</v>
      </c>
      <c r="D3" s="3">
        <f t="shared" ref="D3:D36" si="0">+IF(C3="D",0,1)</f>
        <v>0</v>
      </c>
    </row>
    <row r="4" spans="1:4" ht="15" customHeight="1" x14ac:dyDescent="0.25">
      <c r="A4" s="3">
        <v>3</v>
      </c>
      <c r="B4" s="3">
        <v>660</v>
      </c>
      <c r="C4" s="3" t="s">
        <v>3</v>
      </c>
      <c r="D4" s="3">
        <f t="shared" si="0"/>
        <v>0</v>
      </c>
    </row>
    <row r="5" spans="1:4" ht="15" customHeight="1" x14ac:dyDescent="0.25">
      <c r="A5" s="3">
        <v>4</v>
      </c>
      <c r="B5" s="3">
        <v>662</v>
      </c>
      <c r="C5" s="3" t="s">
        <v>3</v>
      </c>
      <c r="D5" s="3">
        <f t="shared" si="0"/>
        <v>0</v>
      </c>
    </row>
    <row r="6" spans="1:4" ht="15" customHeight="1" x14ac:dyDescent="0.25">
      <c r="A6" s="3">
        <v>5</v>
      </c>
      <c r="B6" s="3">
        <v>662</v>
      </c>
      <c r="C6" s="3" t="s">
        <v>3</v>
      </c>
      <c r="D6" s="3">
        <f t="shared" si="0"/>
        <v>0</v>
      </c>
    </row>
    <row r="7" spans="1:4" ht="15" customHeight="1" x14ac:dyDescent="0.25">
      <c r="A7" s="3">
        <v>6</v>
      </c>
      <c r="B7" s="3">
        <v>674</v>
      </c>
      <c r="C7" s="3" t="s">
        <v>3</v>
      </c>
      <c r="D7" s="3">
        <f t="shared" si="0"/>
        <v>0</v>
      </c>
    </row>
    <row r="8" spans="1:4" ht="15" customHeight="1" x14ac:dyDescent="0.25">
      <c r="A8" s="3">
        <v>7</v>
      </c>
      <c r="B8" s="3">
        <v>676</v>
      </c>
      <c r="C8" s="3" t="s">
        <v>3</v>
      </c>
      <c r="D8" s="3">
        <f t="shared" si="0"/>
        <v>0</v>
      </c>
    </row>
    <row r="9" spans="1:4" ht="15" customHeight="1" x14ac:dyDescent="0.25">
      <c r="A9" s="3">
        <v>8</v>
      </c>
      <c r="B9" s="3">
        <v>680</v>
      </c>
      <c r="C9" s="3" t="s">
        <v>3</v>
      </c>
      <c r="D9" s="3">
        <f t="shared" si="0"/>
        <v>0</v>
      </c>
    </row>
    <row r="10" spans="1:4" ht="15" customHeight="1" x14ac:dyDescent="0.25">
      <c r="A10" s="3">
        <v>9</v>
      </c>
      <c r="B10" s="3">
        <v>680</v>
      </c>
      <c r="C10" s="3" t="s">
        <v>3</v>
      </c>
      <c r="D10" s="3">
        <f t="shared" si="0"/>
        <v>0</v>
      </c>
    </row>
    <row r="11" spans="1:4" ht="15" customHeight="1" x14ac:dyDescent="0.25">
      <c r="A11" s="3">
        <v>10</v>
      </c>
      <c r="B11" s="3">
        <v>682</v>
      </c>
      <c r="C11" s="3" t="s">
        <v>3</v>
      </c>
      <c r="D11" s="3">
        <f t="shared" si="0"/>
        <v>0</v>
      </c>
    </row>
    <row r="12" spans="1:4" ht="15" customHeight="1" x14ac:dyDescent="0.25">
      <c r="A12" s="3">
        <v>11</v>
      </c>
      <c r="B12" s="3">
        <v>683</v>
      </c>
      <c r="C12" s="3" t="s">
        <v>3</v>
      </c>
      <c r="D12" s="3">
        <f t="shared" si="0"/>
        <v>0</v>
      </c>
    </row>
    <row r="13" spans="1:4" ht="15" customHeight="1" x14ac:dyDescent="0.25">
      <c r="A13" s="3">
        <v>12</v>
      </c>
      <c r="B13" s="3">
        <v>687</v>
      </c>
      <c r="C13" s="3" t="s">
        <v>4</v>
      </c>
      <c r="D13" s="3">
        <f t="shared" si="0"/>
        <v>1</v>
      </c>
    </row>
    <row r="14" spans="1:4" x14ac:dyDescent="0.25">
      <c r="A14" s="3">
        <v>13</v>
      </c>
      <c r="B14" s="3">
        <v>687</v>
      </c>
      <c r="C14" s="3" t="s">
        <v>3</v>
      </c>
      <c r="D14" s="3">
        <f t="shared" si="0"/>
        <v>0</v>
      </c>
    </row>
    <row r="15" spans="1:4" x14ac:dyDescent="0.25">
      <c r="A15" s="3">
        <v>14</v>
      </c>
      <c r="B15" s="3">
        <v>689</v>
      </c>
      <c r="C15" s="3" t="s">
        <v>3</v>
      </c>
      <c r="D15" s="3">
        <f t="shared" si="0"/>
        <v>0</v>
      </c>
    </row>
    <row r="16" spans="1:4" x14ac:dyDescent="0.25">
      <c r="A16" s="3">
        <v>15</v>
      </c>
      <c r="B16" s="3">
        <v>692</v>
      </c>
      <c r="C16" s="3" t="s">
        <v>3</v>
      </c>
      <c r="D16" s="3">
        <f t="shared" si="0"/>
        <v>0</v>
      </c>
    </row>
    <row r="17" spans="1:12" x14ac:dyDescent="0.25">
      <c r="A17" s="3">
        <v>16</v>
      </c>
      <c r="B17" s="3">
        <v>696</v>
      </c>
      <c r="C17" s="3" t="s">
        <v>4</v>
      </c>
      <c r="D17" s="3">
        <f t="shared" si="0"/>
        <v>1</v>
      </c>
    </row>
    <row r="18" spans="1:12" x14ac:dyDescent="0.25">
      <c r="A18" s="3">
        <v>17</v>
      </c>
      <c r="B18" s="3">
        <v>700</v>
      </c>
      <c r="C18" s="3" t="s">
        <v>4</v>
      </c>
      <c r="D18" s="3">
        <f t="shared" si="0"/>
        <v>1</v>
      </c>
    </row>
    <row r="19" spans="1:12" x14ac:dyDescent="0.25">
      <c r="A19" s="3">
        <v>18</v>
      </c>
      <c r="B19" s="3">
        <v>701</v>
      </c>
      <c r="C19" s="3" t="s">
        <v>3</v>
      </c>
      <c r="D19" s="3">
        <f t="shared" si="0"/>
        <v>0</v>
      </c>
      <c r="F19" s="14" t="s">
        <v>6</v>
      </c>
      <c r="G19" s="21" t="s">
        <v>7</v>
      </c>
      <c r="H19" s="23" t="s">
        <v>8</v>
      </c>
      <c r="I19" s="21" t="s">
        <v>9</v>
      </c>
      <c r="J19" s="21" t="s">
        <v>10</v>
      </c>
    </row>
    <row r="20" spans="1:12" ht="15.75" thickBot="1" x14ac:dyDescent="0.3">
      <c r="A20" s="3">
        <v>19</v>
      </c>
      <c r="B20" s="3">
        <v>703</v>
      </c>
      <c r="C20" s="3" t="s">
        <v>3</v>
      </c>
      <c r="D20" s="3">
        <f t="shared" si="0"/>
        <v>0</v>
      </c>
      <c r="F20" s="15" t="s">
        <v>11</v>
      </c>
      <c r="G20" s="12" t="s">
        <v>12</v>
      </c>
      <c r="H20" s="24"/>
      <c r="I20" s="12" t="s">
        <v>8</v>
      </c>
      <c r="J20" s="12" t="s">
        <v>13</v>
      </c>
    </row>
    <row r="21" spans="1:12" ht="15.75" thickTop="1" x14ac:dyDescent="0.25">
      <c r="A21" s="3">
        <v>20</v>
      </c>
      <c r="B21" s="3">
        <v>708</v>
      </c>
      <c r="C21" s="3" t="s">
        <v>4</v>
      </c>
      <c r="D21" s="3">
        <f t="shared" si="0"/>
        <v>1</v>
      </c>
      <c r="F21" s="13"/>
      <c r="G21" s="7">
        <v>0.63846792762999227</v>
      </c>
      <c r="H21" s="7">
        <v>0.407641294612137</v>
      </c>
      <c r="I21" s="7">
        <v>0.38969103081250478</v>
      </c>
      <c r="J21" s="16">
        <v>0.39224916060693821</v>
      </c>
    </row>
    <row r="22" spans="1:12" x14ac:dyDescent="0.25">
      <c r="A22" s="3">
        <v>21</v>
      </c>
      <c r="B22" s="3">
        <v>708</v>
      </c>
      <c r="C22" s="3" t="s">
        <v>3</v>
      </c>
      <c r="D22" s="3">
        <f t="shared" si="0"/>
        <v>0</v>
      </c>
    </row>
    <row r="23" spans="1:12" x14ac:dyDescent="0.25">
      <c r="A23" s="3">
        <v>22</v>
      </c>
      <c r="B23" s="3">
        <v>710</v>
      </c>
      <c r="C23" s="3" t="s">
        <v>4</v>
      </c>
      <c r="D23" s="3">
        <f t="shared" si="0"/>
        <v>1</v>
      </c>
      <c r="F23" s="14"/>
      <c r="G23" s="21" t="s">
        <v>14</v>
      </c>
      <c r="H23" s="21" t="s">
        <v>15</v>
      </c>
      <c r="I23" s="21" t="s">
        <v>16</v>
      </c>
      <c r="J23" s="23" t="s">
        <v>17</v>
      </c>
      <c r="K23" s="23" t="s">
        <v>18</v>
      </c>
    </row>
    <row r="24" spans="1:12" ht="15.75" thickBot="1" x14ac:dyDescent="0.3">
      <c r="A24" s="3">
        <v>23</v>
      </c>
      <c r="B24" s="3">
        <v>719</v>
      </c>
      <c r="C24" s="3" t="s">
        <v>3</v>
      </c>
      <c r="D24" s="3">
        <f t="shared" si="0"/>
        <v>0</v>
      </c>
      <c r="F24" s="15" t="s">
        <v>19</v>
      </c>
      <c r="G24" s="12" t="s">
        <v>20</v>
      </c>
      <c r="H24" s="12" t="s">
        <v>21</v>
      </c>
      <c r="I24" s="12" t="s">
        <v>21</v>
      </c>
      <c r="J24" s="24"/>
      <c r="K24" s="24"/>
    </row>
    <row r="25" spans="1:12" ht="15.75" thickTop="1" x14ac:dyDescent="0.25">
      <c r="A25" s="3">
        <v>24</v>
      </c>
      <c r="B25" s="3">
        <v>719</v>
      </c>
      <c r="C25" s="3" t="s">
        <v>4</v>
      </c>
      <c r="D25" s="3">
        <f t="shared" si="0"/>
        <v>1</v>
      </c>
      <c r="F25" s="13" t="s">
        <v>22</v>
      </c>
      <c r="G25" s="16">
        <v>1</v>
      </c>
      <c r="H25" s="16">
        <v>3.4940682395326039</v>
      </c>
      <c r="I25" s="16">
        <v>3.4940682395326039</v>
      </c>
      <c r="J25" s="7">
        <v>22.709487680091321</v>
      </c>
      <c r="K25" s="17">
        <v>3.6759178551953697E-5</v>
      </c>
    </row>
    <row r="26" spans="1:12" x14ac:dyDescent="0.25">
      <c r="A26" s="3">
        <v>25</v>
      </c>
      <c r="B26" s="3">
        <v>725</v>
      </c>
      <c r="C26" s="3" t="s">
        <v>4</v>
      </c>
      <c r="D26" s="3">
        <f t="shared" si="0"/>
        <v>1</v>
      </c>
      <c r="F26" s="13" t="s">
        <v>23</v>
      </c>
      <c r="G26" s="16">
        <v>33</v>
      </c>
      <c r="H26" s="16">
        <v>5.0773603318959708</v>
      </c>
      <c r="I26" s="16">
        <v>0.15385940399684761</v>
      </c>
      <c r="J26" s="22"/>
      <c r="K26" s="22"/>
    </row>
    <row r="27" spans="1:12" x14ac:dyDescent="0.25">
      <c r="A27" s="3">
        <v>26</v>
      </c>
      <c r="B27" s="3">
        <v>727</v>
      </c>
      <c r="C27" s="3" t="s">
        <v>3</v>
      </c>
      <c r="D27" s="3">
        <f t="shared" si="0"/>
        <v>0</v>
      </c>
    </row>
    <row r="28" spans="1:12" x14ac:dyDescent="0.25">
      <c r="A28" s="3">
        <v>27</v>
      </c>
      <c r="B28" s="3">
        <v>728</v>
      </c>
      <c r="C28" s="3" t="s">
        <v>4</v>
      </c>
      <c r="D28" s="3">
        <f t="shared" si="0"/>
        <v>1</v>
      </c>
      <c r="F28" s="14"/>
      <c r="G28" s="23" t="s">
        <v>24</v>
      </c>
      <c r="H28" s="21" t="s">
        <v>25</v>
      </c>
      <c r="I28" s="23" t="s">
        <v>26</v>
      </c>
      <c r="J28" s="23" t="s">
        <v>18</v>
      </c>
      <c r="K28" s="25" t="s">
        <v>27</v>
      </c>
      <c r="L28" s="25"/>
    </row>
    <row r="29" spans="1:12" ht="15.75" thickBot="1" x14ac:dyDescent="0.3">
      <c r="A29" s="3">
        <v>28</v>
      </c>
      <c r="B29" s="3">
        <v>728</v>
      </c>
      <c r="C29" s="3" t="s">
        <v>4</v>
      </c>
      <c r="D29" s="3">
        <f t="shared" si="0"/>
        <v>1</v>
      </c>
      <c r="F29" s="15" t="s">
        <v>28</v>
      </c>
      <c r="G29" s="24"/>
      <c r="H29" s="12" t="s">
        <v>29</v>
      </c>
      <c r="I29" s="24"/>
      <c r="J29" s="24"/>
      <c r="K29" s="12" t="s">
        <v>30</v>
      </c>
      <c r="L29" s="12" t="s">
        <v>31</v>
      </c>
    </row>
    <row r="30" spans="1:12" ht="15.75" thickTop="1" x14ac:dyDescent="0.25">
      <c r="A30" s="3">
        <v>29</v>
      </c>
      <c r="B30" s="3">
        <v>731</v>
      </c>
      <c r="C30" s="3" t="s">
        <v>4</v>
      </c>
      <c r="D30" s="3">
        <f t="shared" si="0"/>
        <v>1</v>
      </c>
      <c r="F30" s="13" t="s">
        <v>32</v>
      </c>
      <c r="G30" s="16">
        <v>-7.7291234740448544</v>
      </c>
      <c r="H30" s="16">
        <v>1.7131259548843056</v>
      </c>
      <c r="I30" s="7">
        <v>-4.5117076488207397</v>
      </c>
      <c r="J30" s="17">
        <v>7.7157496841052763E-5</v>
      </c>
      <c r="K30" s="16">
        <v>-11.214504435714479</v>
      </c>
      <c r="L30" s="16">
        <v>-4.2437425123752304</v>
      </c>
    </row>
    <row r="31" spans="1:12" x14ac:dyDescent="0.25">
      <c r="A31" s="3">
        <v>30</v>
      </c>
      <c r="B31" s="3">
        <v>731</v>
      </c>
      <c r="C31" s="3" t="s">
        <v>4</v>
      </c>
      <c r="D31" s="3">
        <f t="shared" si="0"/>
        <v>1</v>
      </c>
      <c r="F31" s="13" t="s">
        <v>1</v>
      </c>
      <c r="G31" s="16">
        <v>1.161922930010878E-2</v>
      </c>
      <c r="H31" s="16">
        <v>2.4382242930349688E-3</v>
      </c>
      <c r="I31" s="7">
        <v>4.7654472696791137</v>
      </c>
      <c r="J31" s="17">
        <v>3.6759178551944604E-5</v>
      </c>
      <c r="K31" s="16">
        <v>6.6586246773165389E-3</v>
      </c>
      <c r="L31" s="16">
        <v>1.6579833922901022E-2</v>
      </c>
    </row>
    <row r="32" spans="1:12" x14ac:dyDescent="0.25">
      <c r="A32" s="3">
        <v>31</v>
      </c>
      <c r="B32" s="3">
        <v>737</v>
      </c>
      <c r="C32" s="3" t="s">
        <v>4</v>
      </c>
      <c r="D32" s="3">
        <f t="shared" si="0"/>
        <v>1</v>
      </c>
    </row>
    <row r="33" spans="1:10" x14ac:dyDescent="0.25">
      <c r="A33" s="3">
        <v>32</v>
      </c>
      <c r="B33" s="3">
        <v>738</v>
      </c>
      <c r="C33" s="3" t="s">
        <v>4</v>
      </c>
      <c r="D33" s="3">
        <f t="shared" si="0"/>
        <v>1</v>
      </c>
    </row>
    <row r="34" spans="1:10" x14ac:dyDescent="0.25">
      <c r="A34" s="3">
        <v>33</v>
      </c>
      <c r="B34" s="3">
        <v>741</v>
      </c>
      <c r="C34" s="3" t="s">
        <v>3</v>
      </c>
      <c r="D34" s="3">
        <f t="shared" si="0"/>
        <v>0</v>
      </c>
      <c r="G34" s="2" t="s">
        <v>33</v>
      </c>
      <c r="H34">
        <v>700</v>
      </c>
      <c r="I34" t="s">
        <v>34</v>
      </c>
      <c r="J34">
        <f>G30+H34*G31</f>
        <v>0.40433703603129167</v>
      </c>
    </row>
    <row r="35" spans="1:10" x14ac:dyDescent="0.25">
      <c r="A35" s="3">
        <v>34</v>
      </c>
      <c r="B35" s="3">
        <v>747</v>
      </c>
      <c r="C35" s="3" t="s">
        <v>4</v>
      </c>
      <c r="D35" s="3">
        <f t="shared" si="0"/>
        <v>1</v>
      </c>
    </row>
    <row r="36" spans="1:10" x14ac:dyDescent="0.25">
      <c r="A36" s="3">
        <v>35</v>
      </c>
      <c r="B36" s="3">
        <v>747</v>
      </c>
      <c r="C36" s="3" t="s">
        <v>4</v>
      </c>
      <c r="D36" s="3">
        <f t="shared" si="0"/>
        <v>1</v>
      </c>
    </row>
  </sheetData>
  <mergeCells count="7">
    <mergeCell ref="H19:H20"/>
    <mergeCell ref="J23:J24"/>
    <mergeCell ref="K23:K24"/>
    <mergeCell ref="G28:G29"/>
    <mergeCell ref="I28:I29"/>
    <mergeCell ref="J28:J29"/>
    <mergeCell ref="K28:L2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40"/>
  <sheetViews>
    <sheetView topLeftCell="D1" zoomScaleNormal="100" workbookViewId="0">
      <selection activeCell="M29" sqref="M29"/>
    </sheetView>
  </sheetViews>
  <sheetFormatPr defaultRowHeight="15" x14ac:dyDescent="0.25"/>
  <cols>
    <col min="1" max="1" width="3" style="1" bestFit="1" customWidth="1"/>
    <col min="2" max="2" width="6.28515625" style="1" bestFit="1" customWidth="1"/>
    <col min="3" max="3" width="7" style="1" bestFit="1" customWidth="1"/>
    <col min="4" max="4" width="7.85546875" style="1" bestFit="1" customWidth="1"/>
    <col min="5" max="5" width="7.7109375" style="1" bestFit="1" customWidth="1"/>
    <col min="6" max="6" width="8.140625" style="1" bestFit="1" customWidth="1"/>
    <col min="7" max="7" width="16.5703125" style="1" bestFit="1" customWidth="1"/>
    <col min="8" max="8" width="12.140625" style="1" customWidth="1"/>
    <col min="9" max="9" width="15" style="1" customWidth="1"/>
    <col min="11" max="11" width="9.140625" customWidth="1"/>
    <col min="12" max="12" width="12" customWidth="1"/>
    <col min="13" max="19" width="9.140625" customWidth="1"/>
    <col min="20" max="20" width="22" bestFit="1" customWidth="1"/>
    <col min="21" max="27" width="12.7109375" customWidth="1"/>
  </cols>
  <sheetData>
    <row r="1" spans="1:27" ht="15" customHeight="1" x14ac:dyDescent="0.25">
      <c r="A1" s="22"/>
      <c r="B1" s="26" t="s">
        <v>35</v>
      </c>
      <c r="C1" s="26"/>
      <c r="D1" s="22"/>
      <c r="E1" s="22"/>
      <c r="F1" s="2" t="s">
        <v>36</v>
      </c>
      <c r="G1" s="22">
        <v>6.8325197882149774E-2</v>
      </c>
      <c r="H1" s="22"/>
      <c r="I1" s="22"/>
      <c r="T1" s="14" t="s">
        <v>37</v>
      </c>
      <c r="U1" s="21"/>
    </row>
    <row r="2" spans="1:27" ht="15" customHeight="1" thickBot="1" x14ac:dyDescent="0.3">
      <c r="A2" s="22"/>
      <c r="B2" s="22"/>
      <c r="C2" s="22"/>
      <c r="D2" s="22"/>
      <c r="E2" s="22"/>
      <c r="F2" s="2" t="s">
        <v>38</v>
      </c>
      <c r="G2" s="22">
        <v>-48.470374235907741</v>
      </c>
      <c r="H2" s="22"/>
      <c r="I2" s="22"/>
      <c r="T2" s="15" t="s">
        <v>39</v>
      </c>
      <c r="U2" s="12" t="s">
        <v>40</v>
      </c>
    </row>
    <row r="3" spans="1:27" ht="15" customHeight="1" thickTop="1" x14ac:dyDescent="0.25">
      <c r="A3" s="3" t="s">
        <v>0</v>
      </c>
      <c r="B3" s="3" t="s">
        <v>1</v>
      </c>
      <c r="C3" s="3" t="s">
        <v>2</v>
      </c>
      <c r="D3" s="3" t="s">
        <v>5</v>
      </c>
      <c r="E3" s="4" t="s">
        <v>41</v>
      </c>
      <c r="F3" s="3" t="s">
        <v>42</v>
      </c>
      <c r="G3" s="3" t="s">
        <v>43</v>
      </c>
      <c r="H3" s="3" t="s">
        <v>44</v>
      </c>
      <c r="I3" s="3" t="s">
        <v>45</v>
      </c>
      <c r="T3" s="13" t="s">
        <v>46</v>
      </c>
      <c r="U3" s="16">
        <v>47.803567329033029</v>
      </c>
    </row>
    <row r="4" spans="1:27" ht="15" customHeight="1" x14ac:dyDescent="0.25">
      <c r="A4" s="3">
        <v>1</v>
      </c>
      <c r="B4" s="3">
        <v>655</v>
      </c>
      <c r="C4" s="3" t="s">
        <v>3</v>
      </c>
      <c r="D4" s="3">
        <f>+IF(C4="D",0,1)</f>
        <v>0</v>
      </c>
      <c r="E4" s="5">
        <f t="shared" ref="E4:E38" si="0">$G$2+$G$1*B4</f>
        <v>-3.7173696230996356</v>
      </c>
      <c r="F4" s="6">
        <f>EXP(E4)</f>
        <v>2.4297796224461401E-2</v>
      </c>
      <c r="G4" s="6">
        <f>F4/(1+F4)</f>
        <v>2.3721418042704504E-2</v>
      </c>
      <c r="H4" s="6">
        <f>IF(D4=1,G4,1-G4)</f>
        <v>0.97627858195729544</v>
      </c>
      <c r="I4" s="6">
        <f>LN(H4)</f>
        <v>-2.4007300963808612E-2</v>
      </c>
      <c r="T4" s="13" t="s">
        <v>47</v>
      </c>
      <c r="U4" s="16">
        <v>30.961545433229603</v>
      </c>
    </row>
    <row r="5" spans="1:27" ht="15" customHeight="1" x14ac:dyDescent="0.25">
      <c r="A5" s="3">
        <v>2</v>
      </c>
      <c r="B5" s="3">
        <v>660</v>
      </c>
      <c r="C5" s="3" t="s">
        <v>3</v>
      </c>
      <c r="D5" s="3">
        <f t="shared" ref="D5:D38" si="1">+IF(C5="D",0,1)</f>
        <v>0</v>
      </c>
      <c r="E5" s="5">
        <f t="shared" si="0"/>
        <v>-3.3757436336888915</v>
      </c>
      <c r="F5" s="6">
        <f t="shared" ref="F5:F38" si="2">EXP(E5)</f>
        <v>3.4192682024931045E-2</v>
      </c>
      <c r="G5" s="6">
        <f t="shared" ref="G5:G38" si="3">F5/(1+F5)</f>
        <v>3.3062196841291101E-2</v>
      </c>
      <c r="H5" s="6">
        <f t="shared" ref="H5:H38" si="4">IF(D5=1,G5,1-G5)</f>
        <v>0.96693780315870892</v>
      </c>
      <c r="I5" s="6">
        <f t="shared" ref="I5:I38" si="5">LN(H5)</f>
        <v>-3.3621104978282246E-2</v>
      </c>
      <c r="T5" s="13" t="s">
        <v>48</v>
      </c>
      <c r="U5" s="16">
        <v>16.842021895803427</v>
      </c>
    </row>
    <row r="6" spans="1:27" ht="15" customHeight="1" x14ac:dyDescent="0.25">
      <c r="A6" s="3">
        <v>3</v>
      </c>
      <c r="B6" s="3">
        <v>660</v>
      </c>
      <c r="C6" s="3" t="s">
        <v>3</v>
      </c>
      <c r="D6" s="3">
        <f t="shared" si="1"/>
        <v>0</v>
      </c>
      <c r="E6" s="5">
        <f t="shared" si="0"/>
        <v>-3.3757436336888915</v>
      </c>
      <c r="F6" s="6">
        <f t="shared" si="2"/>
        <v>3.4192682024931045E-2</v>
      </c>
      <c r="G6" s="6">
        <f t="shared" si="3"/>
        <v>3.3062196841291101E-2</v>
      </c>
      <c r="H6" s="6">
        <f t="shared" si="4"/>
        <v>0.96693780315870892</v>
      </c>
      <c r="I6" s="6">
        <f t="shared" si="5"/>
        <v>-3.3621104978282246E-2</v>
      </c>
      <c r="T6" s="13" t="s">
        <v>18</v>
      </c>
      <c r="U6" s="17">
        <v>4.0623740325796761E-5</v>
      </c>
    </row>
    <row r="7" spans="1:27" ht="15" customHeight="1" x14ac:dyDescent="0.25">
      <c r="A7" s="3">
        <v>4</v>
      </c>
      <c r="B7" s="3">
        <v>662</v>
      </c>
      <c r="C7" s="3" t="s">
        <v>3</v>
      </c>
      <c r="D7" s="3">
        <f t="shared" si="1"/>
        <v>0</v>
      </c>
      <c r="E7" s="5">
        <f t="shared" si="0"/>
        <v>-3.2390932379245925</v>
      </c>
      <c r="F7" s="6">
        <f t="shared" si="2"/>
        <v>3.9199423539274858E-2</v>
      </c>
      <c r="G7" s="6">
        <f t="shared" si="3"/>
        <v>3.7720790303915508E-2</v>
      </c>
      <c r="H7" s="6">
        <f t="shared" si="4"/>
        <v>0.96227920969608449</v>
      </c>
      <c r="I7" s="6">
        <f t="shared" si="5"/>
        <v>-3.8450631658235583E-2</v>
      </c>
    </row>
    <row r="8" spans="1:27" ht="15" customHeight="1" x14ac:dyDescent="0.25">
      <c r="A8" s="3">
        <v>5</v>
      </c>
      <c r="B8" s="3">
        <v>662</v>
      </c>
      <c r="C8" s="3" t="s">
        <v>3</v>
      </c>
      <c r="D8" s="3">
        <f t="shared" si="1"/>
        <v>0</v>
      </c>
      <c r="E8" s="5">
        <f t="shared" si="0"/>
        <v>-3.2390932379245925</v>
      </c>
      <c r="F8" s="6">
        <f t="shared" si="2"/>
        <v>3.9199423539274858E-2</v>
      </c>
      <c r="G8" s="6">
        <f t="shared" si="3"/>
        <v>3.7720790303915508E-2</v>
      </c>
      <c r="H8" s="6">
        <f t="shared" si="4"/>
        <v>0.96227920969608449</v>
      </c>
      <c r="I8" s="6">
        <f t="shared" si="5"/>
        <v>-3.8450631658235583E-2</v>
      </c>
      <c r="T8" s="14"/>
      <c r="U8" s="23" t="s">
        <v>24</v>
      </c>
      <c r="V8" s="21" t="s">
        <v>25</v>
      </c>
      <c r="W8" s="21" t="s">
        <v>49</v>
      </c>
      <c r="X8" s="23" t="s">
        <v>18</v>
      </c>
      <c r="Y8" s="21" t="s">
        <v>30</v>
      </c>
      <c r="Z8" s="21" t="s">
        <v>31</v>
      </c>
      <c r="AA8" s="23" t="s">
        <v>50</v>
      </c>
    </row>
    <row r="9" spans="1:27" ht="15" customHeight="1" thickBot="1" x14ac:dyDescent="0.3">
      <c r="A9" s="3">
        <v>6</v>
      </c>
      <c r="B9" s="3">
        <v>674</v>
      </c>
      <c r="C9" s="3" t="s">
        <v>3</v>
      </c>
      <c r="D9" s="3">
        <f t="shared" si="1"/>
        <v>0</v>
      </c>
      <c r="E9" s="5">
        <f t="shared" si="0"/>
        <v>-2.4191908633387911</v>
      </c>
      <c r="F9" s="6">
        <f t="shared" si="2"/>
        <v>8.8993596316485721E-2</v>
      </c>
      <c r="G9" s="6">
        <f t="shared" si="3"/>
        <v>8.1720954666313961E-2</v>
      </c>
      <c r="H9" s="6">
        <f t="shared" si="4"/>
        <v>0.91827904533368598</v>
      </c>
      <c r="I9" s="6">
        <f t="shared" si="5"/>
        <v>-8.5253963599728685E-2</v>
      </c>
      <c r="T9" s="15" t="s">
        <v>51</v>
      </c>
      <c r="U9" s="24"/>
      <c r="V9" s="12" t="s">
        <v>29</v>
      </c>
      <c r="W9" s="12" t="s">
        <v>52</v>
      </c>
      <c r="X9" s="24"/>
      <c r="Y9" s="12" t="s">
        <v>53</v>
      </c>
      <c r="Z9" s="12" t="s">
        <v>53</v>
      </c>
      <c r="AA9" s="24"/>
    </row>
    <row r="10" spans="1:27" ht="15" customHeight="1" thickTop="1" x14ac:dyDescent="0.25">
      <c r="A10" s="3">
        <v>7</v>
      </c>
      <c r="B10" s="3">
        <v>676</v>
      </c>
      <c r="C10" s="3" t="s">
        <v>3</v>
      </c>
      <c r="D10" s="3">
        <f t="shared" si="1"/>
        <v>0</v>
      </c>
      <c r="E10" s="5">
        <f t="shared" si="0"/>
        <v>-2.282540467574492</v>
      </c>
      <c r="F10" s="6">
        <f t="shared" si="2"/>
        <v>0.10202468679554276</v>
      </c>
      <c r="G10" s="6">
        <f t="shared" si="3"/>
        <v>9.2579311532674652E-2</v>
      </c>
      <c r="H10" s="6">
        <f t="shared" si="4"/>
        <v>0.90742068846732538</v>
      </c>
      <c r="I10" s="6">
        <f t="shared" si="5"/>
        <v>-9.7149112290643255E-2</v>
      </c>
      <c r="T10" s="13" t="s">
        <v>32</v>
      </c>
      <c r="U10" s="22">
        <v>-48.470374235907741</v>
      </c>
      <c r="V10" s="16">
        <v>15.385261947813229</v>
      </c>
      <c r="W10" s="16">
        <v>-3.1504419229467224</v>
      </c>
      <c r="X10" s="17">
        <v>1.6302366500924315E-3</v>
      </c>
      <c r="Y10" s="16">
        <v>-78.625487653621661</v>
      </c>
      <c r="Z10" s="16">
        <v>-18.315260818193813</v>
      </c>
      <c r="AA10" s="16">
        <v>8.9039750331123376E-22</v>
      </c>
    </row>
    <row r="11" spans="1:27" ht="15" customHeight="1" x14ac:dyDescent="0.25">
      <c r="A11" s="3">
        <v>8</v>
      </c>
      <c r="B11" s="3">
        <v>680</v>
      </c>
      <c r="C11" s="3" t="s">
        <v>3</v>
      </c>
      <c r="D11" s="3">
        <f t="shared" si="1"/>
        <v>0</v>
      </c>
      <c r="E11" s="5">
        <f t="shared" si="0"/>
        <v>-2.0092396760458939</v>
      </c>
      <c r="F11" s="6">
        <f t="shared" si="2"/>
        <v>0.13409058820647693</v>
      </c>
      <c r="G11" s="6">
        <f t="shared" si="3"/>
        <v>0.11823622345595543</v>
      </c>
      <c r="H11" s="6">
        <f t="shared" si="4"/>
        <v>0.88176377654404459</v>
      </c>
      <c r="I11" s="6">
        <f t="shared" si="5"/>
        <v>-0.1258310858949831</v>
      </c>
      <c r="T11" s="13" t="s">
        <v>1</v>
      </c>
      <c r="U11" s="22">
        <v>6.8325197882149774E-2</v>
      </c>
      <c r="V11" s="16">
        <v>2.1740920586048273E-2</v>
      </c>
      <c r="W11" s="16">
        <v>3.1427003107676992</v>
      </c>
      <c r="X11" s="17">
        <v>1.6739713228515196E-3</v>
      </c>
      <c r="Y11" s="16">
        <v>2.5712993533495161E-2</v>
      </c>
      <c r="Z11" s="16">
        <v>0.11093740223080439</v>
      </c>
      <c r="AA11" s="16">
        <v>1.0707134456138796</v>
      </c>
    </row>
    <row r="12" spans="1:27" ht="15" customHeight="1" x14ac:dyDescent="0.25">
      <c r="A12" s="3">
        <v>9</v>
      </c>
      <c r="B12" s="3">
        <v>680</v>
      </c>
      <c r="C12" s="3" t="s">
        <v>3</v>
      </c>
      <c r="D12" s="3">
        <f t="shared" si="1"/>
        <v>0</v>
      </c>
      <c r="E12" s="5">
        <f t="shared" si="0"/>
        <v>-2.0092396760458939</v>
      </c>
      <c r="F12" s="6">
        <f t="shared" si="2"/>
        <v>0.13409058820647693</v>
      </c>
      <c r="G12" s="6">
        <f t="shared" si="3"/>
        <v>0.11823622345595543</v>
      </c>
      <c r="H12" s="6">
        <f t="shared" si="4"/>
        <v>0.88176377654404459</v>
      </c>
      <c r="I12" s="6">
        <f t="shared" si="5"/>
        <v>-0.1258310858949831</v>
      </c>
    </row>
    <row r="13" spans="1:27" ht="15" customHeight="1" x14ac:dyDescent="0.25">
      <c r="A13" s="3">
        <v>10</v>
      </c>
      <c r="B13" s="3">
        <v>682</v>
      </c>
      <c r="C13" s="3" t="s">
        <v>3</v>
      </c>
      <c r="D13" s="3">
        <f t="shared" si="1"/>
        <v>0</v>
      </c>
      <c r="E13" s="5">
        <f t="shared" si="0"/>
        <v>-1.8725892802815949</v>
      </c>
      <c r="F13" s="6">
        <f t="shared" si="2"/>
        <v>0.15372510866224698</v>
      </c>
      <c r="G13" s="6">
        <f t="shared" si="3"/>
        <v>0.1332424054118857</v>
      </c>
      <c r="H13" s="6">
        <f t="shared" si="4"/>
        <v>0.8667575945881143</v>
      </c>
      <c r="I13" s="6">
        <f t="shared" si="5"/>
        <v>-0.14299593231161969</v>
      </c>
      <c r="T13" s="14"/>
      <c r="U13" s="18">
        <v>1</v>
      </c>
      <c r="V13" s="18">
        <v>0</v>
      </c>
      <c r="W13" s="21" t="s">
        <v>54</v>
      </c>
    </row>
    <row r="14" spans="1:27" ht="15" customHeight="1" thickBot="1" x14ac:dyDescent="0.3">
      <c r="A14" s="3">
        <v>11</v>
      </c>
      <c r="B14" s="3">
        <v>683</v>
      </c>
      <c r="C14" s="3" t="s">
        <v>3</v>
      </c>
      <c r="D14" s="3">
        <f t="shared" si="1"/>
        <v>0</v>
      </c>
      <c r="E14" s="5">
        <f t="shared" si="0"/>
        <v>-1.8042640823994418</v>
      </c>
      <c r="F14" s="6">
        <f t="shared" si="2"/>
        <v>0.16459554077312308</v>
      </c>
      <c r="G14" s="6">
        <f t="shared" si="3"/>
        <v>0.14133279324069492</v>
      </c>
      <c r="H14" s="6">
        <f t="shared" si="4"/>
        <v>0.85866720675930508</v>
      </c>
      <c r="I14" s="6">
        <f t="shared" si="5"/>
        <v>-0.1523738514363264</v>
      </c>
      <c r="T14" s="15" t="s">
        <v>55</v>
      </c>
      <c r="U14" s="12"/>
      <c r="V14" s="12"/>
      <c r="W14" s="12" t="s">
        <v>56</v>
      </c>
    </row>
    <row r="15" spans="1:27" ht="15" customHeight="1" thickTop="1" x14ac:dyDescent="0.25">
      <c r="A15" s="3">
        <v>12</v>
      </c>
      <c r="B15" s="3">
        <v>687</v>
      </c>
      <c r="C15" s="3" t="s">
        <v>4</v>
      </c>
      <c r="D15" s="3">
        <f t="shared" si="1"/>
        <v>1</v>
      </c>
      <c r="E15" s="5">
        <f t="shared" si="0"/>
        <v>-1.5309632908708437</v>
      </c>
      <c r="F15" s="6">
        <f t="shared" si="2"/>
        <v>0.21632718091711359</v>
      </c>
      <c r="G15" s="6">
        <f t="shared" si="3"/>
        <v>0.17785278855151651</v>
      </c>
      <c r="H15" s="6">
        <f t="shared" si="4"/>
        <v>0.17785278855151651</v>
      </c>
      <c r="I15" s="6">
        <f t="shared" si="5"/>
        <v>-1.7267991014779986</v>
      </c>
      <c r="T15" s="19">
        <v>1</v>
      </c>
      <c r="U15" s="16">
        <v>11</v>
      </c>
      <c r="V15" s="16">
        <v>4</v>
      </c>
      <c r="W15" s="20">
        <v>0.73333333333333328</v>
      </c>
    </row>
    <row r="16" spans="1:27" ht="15" customHeight="1" x14ac:dyDescent="0.25">
      <c r="A16" s="3">
        <v>13</v>
      </c>
      <c r="B16" s="3">
        <v>687</v>
      </c>
      <c r="C16" s="3" t="s">
        <v>3</v>
      </c>
      <c r="D16" s="3">
        <f t="shared" si="1"/>
        <v>0</v>
      </c>
      <c r="E16" s="5">
        <f t="shared" si="0"/>
        <v>-1.5309632908708437</v>
      </c>
      <c r="F16" s="6">
        <f t="shared" si="2"/>
        <v>0.21632718091711359</v>
      </c>
      <c r="G16" s="6">
        <f t="shared" si="3"/>
        <v>0.17785278855151651</v>
      </c>
      <c r="H16" s="6">
        <f t="shared" si="4"/>
        <v>0.82214721144848346</v>
      </c>
      <c r="I16" s="6">
        <f t="shared" si="5"/>
        <v>-0.1958358106071548</v>
      </c>
      <c r="T16" s="19">
        <v>0</v>
      </c>
      <c r="U16" s="16">
        <v>3</v>
      </c>
      <c r="V16" s="16">
        <v>17</v>
      </c>
      <c r="W16" s="20">
        <v>0.85</v>
      </c>
    </row>
    <row r="17" spans="1:21" ht="15" customHeight="1" x14ac:dyDescent="0.25">
      <c r="A17" s="3">
        <v>14</v>
      </c>
      <c r="B17" s="3">
        <v>689</v>
      </c>
      <c r="C17" s="3" t="s">
        <v>3</v>
      </c>
      <c r="D17" s="3">
        <f t="shared" si="1"/>
        <v>0</v>
      </c>
      <c r="E17" s="5">
        <f t="shared" si="0"/>
        <v>-1.3943128951065447</v>
      </c>
      <c r="F17" s="6">
        <f t="shared" si="2"/>
        <v>0.24800338217529386</v>
      </c>
      <c r="G17" s="6">
        <f t="shared" si="3"/>
        <v>0.19872012024760638</v>
      </c>
      <c r="H17" s="6">
        <f t="shared" si="4"/>
        <v>0.80127987975239368</v>
      </c>
      <c r="I17" s="6">
        <f t="shared" si="5"/>
        <v>-0.22154498001992085</v>
      </c>
    </row>
    <row r="18" spans="1:21" ht="15" customHeight="1" x14ac:dyDescent="0.25">
      <c r="A18" s="3">
        <v>15</v>
      </c>
      <c r="B18" s="3">
        <v>692</v>
      </c>
      <c r="C18" s="3" t="s">
        <v>3</v>
      </c>
      <c r="D18" s="3">
        <f t="shared" si="1"/>
        <v>0</v>
      </c>
      <c r="E18" s="5">
        <f t="shared" si="0"/>
        <v>-1.1893373014600996</v>
      </c>
      <c r="F18" s="6">
        <f t="shared" si="2"/>
        <v>0.30442293787129487</v>
      </c>
      <c r="G18" s="6">
        <f t="shared" si="3"/>
        <v>0.23337747982880977</v>
      </c>
      <c r="H18" s="6">
        <f t="shared" si="4"/>
        <v>0.76662252017119026</v>
      </c>
      <c r="I18" s="6">
        <f t="shared" si="5"/>
        <v>-0.2657607497763389</v>
      </c>
      <c r="T18" s="14"/>
      <c r="U18" s="23" t="s">
        <v>54</v>
      </c>
    </row>
    <row r="19" spans="1:21" ht="15" customHeight="1" thickBot="1" x14ac:dyDescent="0.3">
      <c r="A19" s="3">
        <v>16</v>
      </c>
      <c r="B19" s="3">
        <v>696</v>
      </c>
      <c r="C19" s="3" t="s">
        <v>4</v>
      </c>
      <c r="D19" s="3">
        <f t="shared" si="1"/>
        <v>1</v>
      </c>
      <c r="E19" s="5">
        <f t="shared" si="0"/>
        <v>-0.91603650993150154</v>
      </c>
      <c r="F19" s="6">
        <f t="shared" si="2"/>
        <v>0.40010170170391607</v>
      </c>
      <c r="G19" s="6">
        <f t="shared" si="3"/>
        <v>0.2857661705696054</v>
      </c>
      <c r="H19" s="6">
        <f t="shared" si="4"/>
        <v>0.2857661705696054</v>
      </c>
      <c r="I19" s="6">
        <f t="shared" si="5"/>
        <v>-1.2525813879884873</v>
      </c>
      <c r="T19" s="15" t="s">
        <v>57</v>
      </c>
      <c r="U19" s="24"/>
    </row>
    <row r="20" spans="1:21" ht="15" customHeight="1" thickTop="1" x14ac:dyDescent="0.25">
      <c r="A20" s="3">
        <v>17</v>
      </c>
      <c r="B20" s="3">
        <v>700</v>
      </c>
      <c r="C20" s="3" t="s">
        <v>4</v>
      </c>
      <c r="D20" s="3">
        <f t="shared" si="1"/>
        <v>1</v>
      </c>
      <c r="E20" s="5">
        <f t="shared" si="0"/>
        <v>-0.64273571840289634</v>
      </c>
      <c r="F20" s="6">
        <f t="shared" si="2"/>
        <v>0.5258518718259344</v>
      </c>
      <c r="G20" s="6">
        <f t="shared" si="3"/>
        <v>0.34462838859755474</v>
      </c>
      <c r="H20" s="6">
        <f t="shared" si="4"/>
        <v>0.34462838859755474</v>
      </c>
      <c r="I20" s="6">
        <f t="shared" si="5"/>
        <v>-1.0652885769768914</v>
      </c>
      <c r="T20" s="13" t="s">
        <v>56</v>
      </c>
      <c r="U20" s="20">
        <v>0.8</v>
      </c>
    </row>
    <row r="21" spans="1:21" ht="15" customHeight="1" x14ac:dyDescent="0.25">
      <c r="A21" s="3">
        <v>18</v>
      </c>
      <c r="B21" s="3">
        <v>701</v>
      </c>
      <c r="C21" s="3" t="s">
        <v>3</v>
      </c>
      <c r="D21" s="3">
        <f t="shared" si="1"/>
        <v>0</v>
      </c>
      <c r="E21" s="5">
        <f t="shared" si="0"/>
        <v>-0.57441052052075037</v>
      </c>
      <c r="F21" s="6">
        <f t="shared" si="2"/>
        <v>0.56303666956525233</v>
      </c>
      <c r="G21" s="6">
        <f t="shared" si="3"/>
        <v>0.36021974437865045</v>
      </c>
      <c r="H21" s="6">
        <f t="shared" si="4"/>
        <v>0.63978025562134955</v>
      </c>
      <c r="I21" s="6">
        <f t="shared" si="5"/>
        <v>-0.44663051217837119</v>
      </c>
      <c r="T21" s="13" t="s">
        <v>58</v>
      </c>
      <c r="U21" s="20">
        <v>0.5714285714285714</v>
      </c>
    </row>
    <row r="22" spans="1:21" ht="15" customHeight="1" x14ac:dyDescent="0.25">
      <c r="A22" s="3">
        <v>19</v>
      </c>
      <c r="B22" s="3">
        <v>703</v>
      </c>
      <c r="C22" s="3" t="s">
        <v>3</v>
      </c>
      <c r="D22" s="3">
        <f t="shared" si="1"/>
        <v>0</v>
      </c>
      <c r="E22" s="5">
        <f t="shared" si="0"/>
        <v>-0.43776012475645132</v>
      </c>
      <c r="F22" s="6">
        <f t="shared" si="2"/>
        <v>0.64548059910417577</v>
      </c>
      <c r="G22" s="6">
        <f t="shared" si="3"/>
        <v>0.39227481591432017</v>
      </c>
      <c r="H22" s="6">
        <f t="shared" si="4"/>
        <v>0.60772518408567988</v>
      </c>
      <c r="I22" s="6">
        <f t="shared" si="5"/>
        <v>-0.49803249905777769</v>
      </c>
      <c r="T22" s="13" t="s">
        <v>48</v>
      </c>
      <c r="U22" s="20">
        <v>0.53333333333333344</v>
      </c>
    </row>
    <row r="23" spans="1:21" x14ac:dyDescent="0.25">
      <c r="A23" s="3">
        <v>20</v>
      </c>
      <c r="B23" s="3">
        <v>708</v>
      </c>
      <c r="C23" s="3" t="s">
        <v>4</v>
      </c>
      <c r="D23" s="3">
        <f t="shared" si="1"/>
        <v>1</v>
      </c>
      <c r="E23" s="5">
        <f t="shared" si="0"/>
        <v>-9.6134135345700145E-2</v>
      </c>
      <c r="F23" s="6">
        <f t="shared" si="2"/>
        <v>0.90834216710616367</v>
      </c>
      <c r="G23" s="6">
        <f t="shared" si="3"/>
        <v>0.47598495844358257</v>
      </c>
      <c r="H23" s="6">
        <f t="shared" si="4"/>
        <v>0.47598495844358257</v>
      </c>
      <c r="I23" s="6">
        <f t="shared" si="5"/>
        <v>-0.74236902515844461</v>
      </c>
    </row>
    <row r="24" spans="1:21" x14ac:dyDescent="0.25">
      <c r="A24" s="3">
        <v>21</v>
      </c>
      <c r="B24" s="3">
        <v>708</v>
      </c>
      <c r="C24" s="3" t="s">
        <v>3</v>
      </c>
      <c r="D24" s="3">
        <f t="shared" si="1"/>
        <v>0</v>
      </c>
      <c r="E24" s="5">
        <f t="shared" si="0"/>
        <v>-9.6134135345700145E-2</v>
      </c>
      <c r="F24" s="6">
        <f t="shared" si="2"/>
        <v>0.90834216710616367</v>
      </c>
      <c r="G24" s="6">
        <f t="shared" si="3"/>
        <v>0.47598495844358257</v>
      </c>
      <c r="H24" s="6">
        <f t="shared" si="4"/>
        <v>0.52401504155641743</v>
      </c>
      <c r="I24" s="6">
        <f t="shared" si="5"/>
        <v>-0.64623488981274435</v>
      </c>
    </row>
    <row r="25" spans="1:21" x14ac:dyDescent="0.25">
      <c r="A25" s="3">
        <v>22</v>
      </c>
      <c r="B25" s="3">
        <v>710</v>
      </c>
      <c r="C25" s="3" t="s">
        <v>4</v>
      </c>
      <c r="D25" s="3">
        <f t="shared" si="1"/>
        <v>1</v>
      </c>
      <c r="E25" s="5">
        <f t="shared" si="0"/>
        <v>4.0516260418598904E-2</v>
      </c>
      <c r="F25" s="6">
        <f t="shared" si="2"/>
        <v>1.0413482423231788</v>
      </c>
      <c r="G25" s="6">
        <f t="shared" si="3"/>
        <v>0.51012767970351847</v>
      </c>
      <c r="H25" s="6">
        <f t="shared" si="4"/>
        <v>0.51012767970351847</v>
      </c>
      <c r="I25" s="6">
        <f t="shared" si="5"/>
        <v>-0.67309423223684806</v>
      </c>
    </row>
    <row r="26" spans="1:21" x14ac:dyDescent="0.25">
      <c r="A26" s="3">
        <v>23</v>
      </c>
      <c r="B26" s="3">
        <v>719</v>
      </c>
      <c r="C26" s="3" t="s">
        <v>3</v>
      </c>
      <c r="D26" s="3">
        <f t="shared" si="1"/>
        <v>0</v>
      </c>
      <c r="E26" s="5">
        <f t="shared" si="0"/>
        <v>0.65544304135794818</v>
      </c>
      <c r="F26" s="6">
        <f t="shared" si="2"/>
        <v>1.9259956240983307</v>
      </c>
      <c r="G26" s="6">
        <f t="shared" si="3"/>
        <v>0.65823598922566462</v>
      </c>
      <c r="H26" s="6">
        <f t="shared" si="4"/>
        <v>0.34176401077433538</v>
      </c>
      <c r="I26" s="6">
        <f t="shared" si="5"/>
        <v>-1.0736348070733455</v>
      </c>
    </row>
    <row r="27" spans="1:21" x14ac:dyDescent="0.25">
      <c r="A27" s="3">
        <v>24</v>
      </c>
      <c r="B27" s="3">
        <v>719</v>
      </c>
      <c r="C27" s="3" t="s">
        <v>4</v>
      </c>
      <c r="D27" s="3">
        <f t="shared" si="1"/>
        <v>1</v>
      </c>
      <c r="E27" s="5">
        <f t="shared" si="0"/>
        <v>0.65544304135794818</v>
      </c>
      <c r="F27" s="6">
        <f t="shared" si="2"/>
        <v>1.9259956240983307</v>
      </c>
      <c r="G27" s="6">
        <f t="shared" si="3"/>
        <v>0.65823598922566462</v>
      </c>
      <c r="H27" s="6">
        <f t="shared" si="4"/>
        <v>0.65823598922566462</v>
      </c>
      <c r="I27" s="6">
        <f t="shared" si="5"/>
        <v>-0.41819176571539751</v>
      </c>
    </row>
    <row r="28" spans="1:21" x14ac:dyDescent="0.25">
      <c r="A28" s="3">
        <v>25</v>
      </c>
      <c r="B28" s="3">
        <v>725</v>
      </c>
      <c r="C28" s="3" t="s">
        <v>4</v>
      </c>
      <c r="D28" s="3">
        <f t="shared" si="1"/>
        <v>1</v>
      </c>
      <c r="E28" s="5">
        <f t="shared" si="0"/>
        <v>1.0653942286508453</v>
      </c>
      <c r="F28" s="6">
        <f t="shared" si="2"/>
        <v>2.9019828033469923</v>
      </c>
      <c r="G28" s="6">
        <f t="shared" si="3"/>
        <v>0.74372003917028207</v>
      </c>
      <c r="H28" s="6">
        <f t="shared" si="4"/>
        <v>0.74372003917028207</v>
      </c>
      <c r="I28" s="6">
        <f t="shared" si="5"/>
        <v>-0.29609060640222656</v>
      </c>
    </row>
    <row r="29" spans="1:21" x14ac:dyDescent="0.25">
      <c r="A29" s="3">
        <v>26</v>
      </c>
      <c r="B29" s="3">
        <v>727</v>
      </c>
      <c r="C29" s="3" t="s">
        <v>3</v>
      </c>
      <c r="D29" s="3">
        <f t="shared" si="1"/>
        <v>0</v>
      </c>
      <c r="E29" s="5">
        <f t="shared" si="0"/>
        <v>1.2020446244151444</v>
      </c>
      <c r="F29" s="6">
        <f t="shared" si="2"/>
        <v>3.3269122594462623</v>
      </c>
      <c r="G29" s="6">
        <f t="shared" si="3"/>
        <v>0.76888831110063349</v>
      </c>
      <c r="H29" s="6">
        <f t="shared" si="4"/>
        <v>0.23111168889936651</v>
      </c>
      <c r="I29" s="6">
        <f t="shared" si="5"/>
        <v>-1.464854183580782</v>
      </c>
    </row>
    <row r="30" spans="1:21" x14ac:dyDescent="0.25">
      <c r="A30" s="3">
        <v>27</v>
      </c>
      <c r="B30" s="3">
        <v>728</v>
      </c>
      <c r="C30" s="3" t="s">
        <v>4</v>
      </c>
      <c r="D30" s="3">
        <f t="shared" si="1"/>
        <v>1</v>
      </c>
      <c r="E30" s="5">
        <f t="shared" si="0"/>
        <v>1.2703698222972974</v>
      </c>
      <c r="F30" s="6">
        <f t="shared" si="2"/>
        <v>3.5621696885667773</v>
      </c>
      <c r="G30" s="6">
        <f t="shared" si="3"/>
        <v>0.78080604881793558</v>
      </c>
      <c r="H30" s="6">
        <f t="shared" si="4"/>
        <v>0.78080604881793558</v>
      </c>
      <c r="I30" s="6">
        <f t="shared" si="5"/>
        <v>-0.2474284969640615</v>
      </c>
    </row>
    <row r="31" spans="1:21" x14ac:dyDescent="0.25">
      <c r="A31" s="3">
        <v>28</v>
      </c>
      <c r="B31" s="3">
        <v>728</v>
      </c>
      <c r="C31" s="3" t="s">
        <v>4</v>
      </c>
      <c r="D31" s="3">
        <f t="shared" si="1"/>
        <v>1</v>
      </c>
      <c r="E31" s="5">
        <f t="shared" si="0"/>
        <v>1.2703698222972974</v>
      </c>
      <c r="F31" s="6">
        <f t="shared" si="2"/>
        <v>3.5621696885667773</v>
      </c>
      <c r="G31" s="6">
        <f t="shared" si="3"/>
        <v>0.78080604881793558</v>
      </c>
      <c r="H31" s="6">
        <f t="shared" si="4"/>
        <v>0.78080604881793558</v>
      </c>
      <c r="I31" s="6">
        <f t="shared" si="5"/>
        <v>-0.2474284969640615</v>
      </c>
    </row>
    <row r="32" spans="1:21" x14ac:dyDescent="0.25">
      <c r="A32" s="3">
        <v>29</v>
      </c>
      <c r="B32" s="3">
        <v>731</v>
      </c>
      <c r="C32" s="3" t="s">
        <v>4</v>
      </c>
      <c r="D32" s="3">
        <f t="shared" si="1"/>
        <v>1</v>
      </c>
      <c r="E32" s="5">
        <f t="shared" si="0"/>
        <v>1.4753454159437425</v>
      </c>
      <c r="F32" s="6">
        <f t="shared" si="2"/>
        <v>4.3725458591653137</v>
      </c>
      <c r="G32" s="6">
        <f t="shared" si="3"/>
        <v>0.81386850364542795</v>
      </c>
      <c r="H32" s="6">
        <f t="shared" si="4"/>
        <v>0.81386850364542795</v>
      </c>
      <c r="I32" s="6">
        <f t="shared" si="5"/>
        <v>-0.20595646946227775</v>
      </c>
    </row>
    <row r="33" spans="1:9" x14ac:dyDescent="0.25">
      <c r="A33" s="3">
        <v>30</v>
      </c>
      <c r="B33" s="3">
        <v>731</v>
      </c>
      <c r="C33" s="3" t="s">
        <v>4</v>
      </c>
      <c r="D33" s="3">
        <f t="shared" si="1"/>
        <v>1</v>
      </c>
      <c r="E33" s="5">
        <f t="shared" si="0"/>
        <v>1.4753454159437425</v>
      </c>
      <c r="F33" s="6">
        <f t="shared" si="2"/>
        <v>4.3725458591653137</v>
      </c>
      <c r="G33" s="6">
        <f t="shared" si="3"/>
        <v>0.81386850364542795</v>
      </c>
      <c r="H33" s="6">
        <f t="shared" si="4"/>
        <v>0.81386850364542795</v>
      </c>
      <c r="I33" s="6">
        <f t="shared" si="5"/>
        <v>-0.20595646946227775</v>
      </c>
    </row>
    <row r="34" spans="1:9" x14ac:dyDescent="0.25">
      <c r="A34" s="3">
        <v>31</v>
      </c>
      <c r="B34" s="3">
        <v>737</v>
      </c>
      <c r="C34" s="3" t="s">
        <v>4</v>
      </c>
      <c r="D34" s="3">
        <f t="shared" si="1"/>
        <v>1</v>
      </c>
      <c r="E34" s="5">
        <f t="shared" si="0"/>
        <v>1.8852966032366396</v>
      </c>
      <c r="F34" s="6">
        <f t="shared" si="2"/>
        <v>6.5883082658011309</v>
      </c>
      <c r="G34" s="6">
        <f t="shared" si="3"/>
        <v>0.86821832153198308</v>
      </c>
      <c r="H34" s="6">
        <f t="shared" si="4"/>
        <v>0.86821832153198308</v>
      </c>
      <c r="I34" s="6">
        <f t="shared" si="5"/>
        <v>-0.14131207344598373</v>
      </c>
    </row>
    <row r="35" spans="1:9" x14ac:dyDescent="0.25">
      <c r="A35" s="3">
        <v>32</v>
      </c>
      <c r="B35" s="3">
        <v>738</v>
      </c>
      <c r="C35" s="3" t="s">
        <v>4</v>
      </c>
      <c r="D35" s="3">
        <f t="shared" si="1"/>
        <v>1</v>
      </c>
      <c r="E35" s="5">
        <f t="shared" si="0"/>
        <v>1.9536218011187927</v>
      </c>
      <c r="F35" s="6">
        <f t="shared" si="2"/>
        <v>7.0541902440423563</v>
      </c>
      <c r="G35" s="6">
        <f t="shared" si="3"/>
        <v>0.8758410256400766</v>
      </c>
      <c r="H35" s="6">
        <f t="shared" si="4"/>
        <v>0.8758410256400766</v>
      </c>
      <c r="I35" s="6">
        <f t="shared" si="5"/>
        <v>-0.13257068209461537</v>
      </c>
    </row>
    <row r="36" spans="1:9" x14ac:dyDescent="0.25">
      <c r="A36" s="3">
        <v>33</v>
      </c>
      <c r="B36" s="3">
        <v>741</v>
      </c>
      <c r="C36" s="3" t="s">
        <v>3</v>
      </c>
      <c r="D36" s="3">
        <f t="shared" si="1"/>
        <v>0</v>
      </c>
      <c r="E36" s="5">
        <f t="shared" si="0"/>
        <v>2.1585973947652448</v>
      </c>
      <c r="F36" s="6">
        <f t="shared" si="2"/>
        <v>8.658984000776849</v>
      </c>
      <c r="G36" s="6">
        <f t="shared" si="3"/>
        <v>0.89646944234304848</v>
      </c>
      <c r="H36" s="6">
        <f t="shared" si="4"/>
        <v>0.10353055765695152</v>
      </c>
      <c r="I36" s="6">
        <f t="shared" si="5"/>
        <v>-2.2678884667900361</v>
      </c>
    </row>
    <row r="37" spans="1:9" x14ac:dyDescent="0.25">
      <c r="A37" s="3">
        <v>34</v>
      </c>
      <c r="B37" s="3">
        <v>747</v>
      </c>
      <c r="C37" s="3" t="s">
        <v>4</v>
      </c>
      <c r="D37" s="3">
        <f t="shared" si="1"/>
        <v>1</v>
      </c>
      <c r="E37" s="5">
        <f t="shared" si="0"/>
        <v>2.568548582058142</v>
      </c>
      <c r="F37" s="6">
        <f t="shared" si="2"/>
        <v>13.046874224584558</v>
      </c>
      <c r="G37" s="6">
        <f t="shared" si="3"/>
        <v>0.9288097847242186</v>
      </c>
      <c r="H37" s="6">
        <f t="shared" si="4"/>
        <v>0.9288097847242186</v>
      </c>
      <c r="I37" s="6">
        <f t="shared" si="5"/>
        <v>-7.3851313851815675E-2</v>
      </c>
    </row>
    <row r="38" spans="1:9" x14ac:dyDescent="0.25">
      <c r="A38" s="3">
        <v>35</v>
      </c>
      <c r="B38" s="3">
        <v>747</v>
      </c>
      <c r="C38" s="3" t="s">
        <v>4</v>
      </c>
      <c r="D38" s="3">
        <f t="shared" si="1"/>
        <v>1</v>
      </c>
      <c r="E38" s="5">
        <f t="shared" si="0"/>
        <v>2.568548582058142</v>
      </c>
      <c r="F38" s="6">
        <f t="shared" si="2"/>
        <v>13.046874224584558</v>
      </c>
      <c r="G38" s="6">
        <f t="shared" si="3"/>
        <v>0.9288097847242186</v>
      </c>
      <c r="H38" s="6">
        <f t="shared" si="4"/>
        <v>0.9288097847242186</v>
      </c>
      <c r="I38" s="6">
        <f t="shared" si="5"/>
        <v>-7.3851313851815675E-2</v>
      </c>
    </row>
    <row r="39" spans="1:9" x14ac:dyDescent="0.25">
      <c r="A39" s="22"/>
      <c r="B39" s="22"/>
      <c r="C39" s="22"/>
      <c r="D39" s="22"/>
      <c r="E39" s="7"/>
      <c r="F39" s="7"/>
      <c r="G39" s="7"/>
      <c r="H39" s="7"/>
      <c r="I39" s="7"/>
    </row>
    <row r="40" spans="1:9" x14ac:dyDescent="0.25">
      <c r="A40" s="22"/>
      <c r="B40" s="22"/>
      <c r="C40" s="22"/>
      <c r="D40" s="22"/>
      <c r="E40" s="7"/>
      <c r="F40" s="7"/>
      <c r="G40" s="7"/>
      <c r="H40" s="8" t="s">
        <v>59</v>
      </c>
      <c r="I40" s="7">
        <f>SUM(I4:I38)</f>
        <v>-15.480772716614801</v>
      </c>
    </row>
  </sheetData>
  <mergeCells count="5">
    <mergeCell ref="B1:C1"/>
    <mergeCell ref="U8:U9"/>
    <mergeCell ref="X8:X9"/>
    <mergeCell ref="AA8:AA9"/>
    <mergeCell ref="U18:U1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"/>
  <sheetViews>
    <sheetView workbookViewId="0"/>
  </sheetViews>
  <sheetFormatPr defaultColWidth="30.7109375" defaultRowHeight="15" x14ac:dyDescent="0.25"/>
  <cols>
    <col min="1" max="1" width="30.7109375" style="10"/>
    <col min="2" max="16384" width="30.7109375" style="9"/>
  </cols>
  <sheetData>
    <row r="1" spans="1:20" x14ac:dyDescent="0.25">
      <c r="A1" s="10" t="s">
        <v>60</v>
      </c>
      <c r="B1" s="9" t="s">
        <v>61</v>
      </c>
      <c r="C1" s="9" t="s">
        <v>62</v>
      </c>
      <c r="D1" s="9">
        <v>6</v>
      </c>
      <c r="E1" s="9" t="s">
        <v>63</v>
      </c>
      <c r="F1" s="9">
        <v>3</v>
      </c>
      <c r="G1" s="9" t="s">
        <v>64</v>
      </c>
      <c r="H1" s="9">
        <v>1</v>
      </c>
      <c r="I1" s="9" t="s">
        <v>65</v>
      </c>
      <c r="J1" s="9">
        <v>1</v>
      </c>
      <c r="K1" s="9" t="s">
        <v>66</v>
      </c>
      <c r="L1" s="9">
        <v>0</v>
      </c>
      <c r="M1" s="9" t="s">
        <v>67</v>
      </c>
      <c r="N1" s="9">
        <v>0</v>
      </c>
      <c r="O1" s="9" t="s">
        <v>68</v>
      </c>
      <c r="P1" s="9">
        <v>1</v>
      </c>
      <c r="Q1" s="9" t="s">
        <v>69</v>
      </c>
      <c r="R1" s="9">
        <v>0</v>
      </c>
      <c r="S1" s="9" t="s">
        <v>70</v>
      </c>
      <c r="T1" s="9">
        <v>0</v>
      </c>
    </row>
    <row r="2" spans="1:20" x14ac:dyDescent="0.25">
      <c r="A2" s="10" t="s">
        <v>71</v>
      </c>
      <c r="B2" s="9" t="s">
        <v>72</v>
      </c>
    </row>
    <row r="3" spans="1:20" x14ac:dyDescent="0.25">
      <c r="A3" s="10" t="s">
        <v>73</v>
      </c>
      <c r="B3" s="9" t="b">
        <f>IF(B10&gt;256,"TripUpST110AndEarlier",FALSE)</f>
        <v>0</v>
      </c>
    </row>
    <row r="4" spans="1:20" x14ac:dyDescent="0.25">
      <c r="A4" s="10" t="s">
        <v>74</v>
      </c>
      <c r="B4" s="9" t="s">
        <v>75</v>
      </c>
    </row>
    <row r="5" spans="1:20" x14ac:dyDescent="0.25">
      <c r="A5" s="10" t="s">
        <v>76</v>
      </c>
      <c r="B5" s="9" t="b">
        <v>1</v>
      </c>
    </row>
    <row r="6" spans="1:20" x14ac:dyDescent="0.25">
      <c r="A6" s="10" t="s">
        <v>77</v>
      </c>
      <c r="B6" s="9" t="b">
        <v>1</v>
      </c>
    </row>
    <row r="7" spans="1:20" x14ac:dyDescent="0.25">
      <c r="A7" s="10" t="s">
        <v>78</v>
      </c>
      <c r="B7" s="9">
        <f>Linear!$A$1:$D$36</f>
        <v>674</v>
      </c>
    </row>
    <row r="8" spans="1:20" x14ac:dyDescent="0.25">
      <c r="A8" s="10" t="s">
        <v>79</v>
      </c>
      <c r="B8" s="9">
        <v>1</v>
      </c>
    </row>
    <row r="9" spans="1:20" x14ac:dyDescent="0.25">
      <c r="A9" s="10" t="s">
        <v>80</v>
      </c>
      <c r="B9" s="11">
        <f>1</f>
        <v>1</v>
      </c>
    </row>
    <row r="10" spans="1:20" x14ac:dyDescent="0.25">
      <c r="A10" s="10" t="s">
        <v>81</v>
      </c>
      <c r="B10" s="9">
        <v>4</v>
      </c>
    </row>
    <row r="12" spans="1:20" x14ac:dyDescent="0.25">
      <c r="A12" s="10" t="s">
        <v>82</v>
      </c>
      <c r="B12" s="9" t="s">
        <v>83</v>
      </c>
      <c r="C12" s="9" t="s">
        <v>84</v>
      </c>
      <c r="D12" s="9" t="s">
        <v>85</v>
      </c>
      <c r="E12" s="9" t="b">
        <v>1</v>
      </c>
      <c r="F12" s="9">
        <v>0</v>
      </c>
      <c r="G12" s="9">
        <v>4</v>
      </c>
    </row>
    <row r="13" spans="1:20" x14ac:dyDescent="0.25">
      <c r="A13" s="10" t="s">
        <v>86</v>
      </c>
      <c r="B13" s="9">
        <f>Linear!$A$1:$A$36</f>
        <v>12</v>
      </c>
    </row>
    <row r="14" spans="1:20" x14ac:dyDescent="0.25">
      <c r="A14" s="10" t="s">
        <v>87</v>
      </c>
    </row>
    <row r="15" spans="1:20" x14ac:dyDescent="0.25">
      <c r="A15" s="10" t="s">
        <v>88</v>
      </c>
      <c r="B15" s="9" t="s">
        <v>89</v>
      </c>
      <c r="C15" s="9" t="s">
        <v>90</v>
      </c>
      <c r="D15" s="9" t="s">
        <v>91</v>
      </c>
      <c r="E15" s="9" t="b">
        <v>1</v>
      </c>
      <c r="F15" s="9">
        <v>0</v>
      </c>
      <c r="G15" s="9">
        <v>4</v>
      </c>
    </row>
    <row r="16" spans="1:20" x14ac:dyDescent="0.25">
      <c r="A16" s="10" t="s">
        <v>92</v>
      </c>
      <c r="B16" s="9">
        <f>Linear!$B$1:$B$36</f>
        <v>692</v>
      </c>
    </row>
    <row r="17" spans="1:7" x14ac:dyDescent="0.25">
      <c r="A17" s="10" t="s">
        <v>93</v>
      </c>
    </row>
    <row r="18" spans="1:7" x14ac:dyDescent="0.25">
      <c r="A18" s="10" t="s">
        <v>94</v>
      </c>
      <c r="B18" s="9" t="s">
        <v>95</v>
      </c>
      <c r="C18" s="9" t="s">
        <v>96</v>
      </c>
      <c r="D18" s="9" t="s">
        <v>97</v>
      </c>
      <c r="E18" s="9" t="b">
        <v>1</v>
      </c>
      <c r="F18" s="9">
        <v>0</v>
      </c>
      <c r="G18" s="9">
        <v>4</v>
      </c>
    </row>
    <row r="19" spans="1:7" x14ac:dyDescent="0.25">
      <c r="A19" s="10" t="s">
        <v>98</v>
      </c>
      <c r="B19" s="9" t="str">
        <f>Linear!$C$1:$C$36</f>
        <v>D</v>
      </c>
    </row>
    <row r="20" spans="1:7" x14ac:dyDescent="0.25">
      <c r="A20" s="10" t="s">
        <v>99</v>
      </c>
    </row>
    <row r="21" spans="1:7" x14ac:dyDescent="0.25">
      <c r="A21" s="10" t="s">
        <v>100</v>
      </c>
      <c r="B21" s="9" t="s">
        <v>101</v>
      </c>
      <c r="C21" s="9" t="s">
        <v>102</v>
      </c>
      <c r="D21" s="9" t="s">
        <v>103</v>
      </c>
      <c r="E21" s="9" t="b">
        <v>1</v>
      </c>
      <c r="F21" s="9">
        <v>0</v>
      </c>
      <c r="G21" s="9">
        <v>4</v>
      </c>
    </row>
    <row r="22" spans="1:7" x14ac:dyDescent="0.25">
      <c r="A22" s="10" t="s">
        <v>104</v>
      </c>
      <c r="B22" s="9">
        <f>Linear!$D$1:$D$36</f>
        <v>0</v>
      </c>
    </row>
    <row r="23" spans="1:7" x14ac:dyDescent="0.25">
      <c r="A23" s="10" t="s">
        <v>105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E06E3433F60746913295E7E5042F4E" ma:contentTypeVersion="5" ma:contentTypeDescription="Create a new document." ma:contentTypeScope="" ma:versionID="1e921b5855ce5fad27ee550c635798a6">
  <xsd:schema xmlns:xsd="http://www.w3.org/2001/XMLSchema" xmlns:xs="http://www.w3.org/2001/XMLSchema" xmlns:p="http://schemas.microsoft.com/office/2006/metadata/properties" xmlns:ns2="6a44d941-9518-4a0d-932f-37f27f78a23b" targetNamespace="http://schemas.microsoft.com/office/2006/metadata/properties" ma:root="true" ma:fieldsID="93a3586ee2bc5bde5db5d913e8176a61" ns2:_="">
    <xsd:import namespace="6a44d941-9518-4a0d-932f-37f27f78a23b"/>
    <xsd:element name="properties">
      <xsd:complexType>
        <xsd:sequence>
          <xsd:element name="documentManagement">
            <xsd:complexType>
              <xsd:all>
                <xsd:element ref="ns2:Sess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44d941-9518-4a0d-932f-37f27f78a23b" elementFormDefault="qualified">
    <xsd:import namespace="http://schemas.microsoft.com/office/2006/documentManagement/types"/>
    <xsd:import namespace="http://schemas.microsoft.com/office/infopath/2007/PartnerControls"/>
    <xsd:element name="Session" ma:index="8" nillable="true" ma:displayName="Session" ma:list="{87CF6C58-333B-4225-8891-59859D5F1EDC}" ma:internalName="Session" ma:showField="Title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ssion xmlns="6a44d941-9518-4a0d-932f-37f27f78a23b">3</Session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19E0AD-B88C-4F4A-A8F6-8659FA19E700}"/>
</file>

<file path=customXml/itemProps2.xml><?xml version="1.0" encoding="utf-8"?>
<ds:datastoreItem xmlns:ds="http://schemas.openxmlformats.org/officeDocument/2006/customXml" ds:itemID="{0E7569B0-1EA8-4ECE-B8FC-0E59E61FF61E}"/>
</file>

<file path=customXml/itemProps3.xml><?xml version="1.0" encoding="utf-8"?>
<ds:datastoreItem xmlns:ds="http://schemas.openxmlformats.org/officeDocument/2006/customXml" ds:itemID="{AA32C114-90CA-4155-A72F-9005C24E6B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Data</vt:lpstr>
      <vt:lpstr>Linear</vt:lpstr>
      <vt:lpstr>Logit</vt:lpstr>
      <vt:lpstr>_STDS_DG2402595D</vt:lpstr>
      <vt:lpstr>ST_Choice</vt:lpstr>
      <vt:lpstr>ST_Dummy</vt:lpstr>
      <vt:lpstr>ST_GMAT</vt:lpstr>
      <vt:lpstr>ST_ID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Modeling Discrete Choice (Data)</dc:title>
  <dc:creator>Ovchinnikov, Anton</dc:creator>
  <cp:lastModifiedBy>LIAO Alyssa</cp:lastModifiedBy>
  <dcterms:created xsi:type="dcterms:W3CDTF">2011-04-27T23:54:32Z</dcterms:created>
  <dcterms:modified xsi:type="dcterms:W3CDTF">2018-01-19T08:20:41Z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0x01010004E06E3433F60746913295E7E5042F4E</vt:lpwstr>
  </property>
</Properties>
</file>