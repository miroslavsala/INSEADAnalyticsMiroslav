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ardo Ferreira\Desktop\INSEAD 18J\P3\Data Science for Business\Tumblr acquisition\"/>
    </mc:Choice>
  </mc:AlternateContent>
  <bookViews>
    <workbookView xWindow="1968" yWindow="0" windowWidth="18876" windowHeight="7812" firstSheet="1" activeTab="5"/>
  </bookViews>
  <sheets>
    <sheet name="Title Page" sheetId="26" r:id="rId1"/>
    <sheet name="Exhibit 1" sheetId="17" r:id="rId2"/>
    <sheet name="Exhibit 2" sheetId="22" r:id="rId3"/>
    <sheet name="Exhibit 3" sheetId="21" r:id="rId4"/>
    <sheet name="Exhibit 4" sheetId="16" r:id="rId5"/>
    <sheet name="Exhibit 5" sheetId="20" r:id="rId6"/>
    <sheet name="Summary_Population World_USA" sheetId="27" r:id="rId7"/>
    <sheet name="Worldwide Population" sheetId="29" r:id="rId8"/>
    <sheet name="USA Population" sheetId="35" r:id="rId9"/>
    <sheet name="_PalUtilTempWorksheet" sheetId="11" state="hidden" r:id="rId10"/>
    <sheet name="_STDS_DG203AA16" sheetId="5" state="hidden" r:id="rId11"/>
    <sheet name="_STDS_DG12A19417" sheetId="6" state="hidden" r:id="rId12"/>
    <sheet name="_STDS_DG32C09806" sheetId="13" state="hidden" r:id="rId13"/>
  </sheets>
  <definedNames>
    <definedName name="_xlnm._FilterDatabase" localSheetId="1" hidden="1">'Exhibit 1'!$A$6:$F$44</definedName>
    <definedName name="ExternalData_1" localSheetId="6" hidden="1">'Summary_Population World_USA'!#REF!</definedName>
    <definedName name="ExternalData_1" localSheetId="8" hidden="1">'USA Population'!$A$1:$B$116</definedName>
    <definedName name="ExternalData_1" localSheetId="7" hidden="1">'Worldwide Population'!$A$1:$B$116</definedName>
    <definedName name="ExternalData_2" localSheetId="8" hidden="1">'USA Population'!$A$1:$B$116</definedName>
    <definedName name="ExternalData_2" localSheetId="7" hidden="1">'Worldwide Population'!$C$1:$D$116</definedName>
    <definedName name="ExternalData_3" localSheetId="8" hidden="1">'USA Population'!$C$1:$D$116</definedName>
    <definedName name="ExternalData_3" localSheetId="7" hidden="1">'Worldwide Population'!$E$1:$F$116</definedName>
    <definedName name="ExternalData_4" localSheetId="8" hidden="1">'USA Population'!$G$1:$H$116</definedName>
    <definedName name="ExternalData_4" localSheetId="7" hidden="1">'Worldwide Population'!$G$1:$H$116</definedName>
    <definedName name="ExternalData_5" localSheetId="8" hidden="1">'USA Population'!$I$1:$J$116</definedName>
    <definedName name="ExternalData_5" localSheetId="7" hidden="1">'Worldwide Population'!$I$1:$J$116</definedName>
    <definedName name="ST_1012010">#REF!</definedName>
    <definedName name="ST_1012011">#REF!</definedName>
    <definedName name="ST_1012012">#REF!</definedName>
    <definedName name="ST_1112010">#REF!</definedName>
    <definedName name="ST_1112011">#REF!</definedName>
    <definedName name="ST_1112012">#REF!</definedName>
    <definedName name="ST_112011">#REF!</definedName>
    <definedName name="ST_112012">#REF!</definedName>
    <definedName name="ST_112013">#REF!</definedName>
    <definedName name="ST_1212010">#REF!</definedName>
    <definedName name="ST_1212011">#REF!</definedName>
    <definedName name="ST_1212012">#REF!</definedName>
    <definedName name="ST_212011">#REF!</definedName>
    <definedName name="ST_212012">#REF!</definedName>
    <definedName name="ST_212013">#REF!</definedName>
    <definedName name="ST_312011">#REF!</definedName>
    <definedName name="ST_312012">#REF!</definedName>
    <definedName name="ST_312013">#REF!</definedName>
    <definedName name="ST_412010">#REF!</definedName>
    <definedName name="ST_412011">#REF!</definedName>
    <definedName name="ST_412012">#REF!</definedName>
    <definedName name="ST_412013">#REF!</definedName>
    <definedName name="ST_512010">#REF!</definedName>
    <definedName name="ST_512011">#REF!</definedName>
    <definedName name="ST_512012">#REF!</definedName>
    <definedName name="ST_512013">#REF!</definedName>
    <definedName name="ST_612010">#REF!</definedName>
    <definedName name="ST_612011">#REF!</definedName>
    <definedName name="ST_612012">#REF!</definedName>
    <definedName name="ST_712010">#REF!</definedName>
    <definedName name="ST_712011">#REF!</definedName>
    <definedName name="ST_712012">#REF!</definedName>
    <definedName name="ST_812010">#REF!</definedName>
    <definedName name="ST_812011">#REF!</definedName>
    <definedName name="ST_812012">#REF!</definedName>
    <definedName name="ST_912010">#REF!</definedName>
    <definedName name="ST_912011">#REF!</definedName>
    <definedName name="ST_912012">#REF!</definedName>
    <definedName name="ST_Category">#REF!</definedName>
    <definedName name="ST_DataSet1">#REF!</definedName>
    <definedName name="ST_Date">#REF!</definedName>
    <definedName name="ST_MobileWeb">#REF!</definedName>
    <definedName name="ST_PageViews">#REF!</definedName>
    <definedName name="ST_People">#REF!</definedName>
    <definedName name="ST_Uniques">#REF!</definedName>
    <definedName name="ST_Value">#REF!</definedName>
    <definedName name="ST_Visits">#REF!</definedName>
    <definedName name="STWBD_StatToolsStack_CategoryVariableName" hidden="1">"Category"</definedName>
    <definedName name="STWBD_StatToolsStack_HasDefaultInfo" hidden="1">"TRUE"</definedName>
    <definedName name="STWBD_StatToolsStack_ValueVariableName" hidden="1">"Value"</definedName>
    <definedName name="STWBD_StatToolsStack_VariableList" hidden="1">6</definedName>
    <definedName name="STWBD_StatToolsStack_VariableList_1" hidden="1">"U_x0001_VG1287A564C79D1A2_x0001_"</definedName>
    <definedName name="STWBD_StatToolsStack_VariableList_2" hidden="1">"U_x0001_VG2D855750251DBEF_x0001_"</definedName>
    <definedName name="STWBD_StatToolsStack_VariableList_3" hidden="1">"U_x0001_VG14002A7CFE0BD77_x0001_"</definedName>
    <definedName name="STWBD_StatToolsStack_VariableList_4" hidden="1">"U_x0001_VG1AC5D4FF277C87D9_x0001_"</definedName>
    <definedName name="STWBD_StatToolsStack_VariableList_5" hidden="1">"U_x0001_VG283D345233AF79B1_x0001_"</definedName>
    <definedName name="STWBD_StatToolsStack_VariableList_6" hidden="1">"U_x0001_VG24F819A39B4EEB5_x0001_"</definedName>
    <definedName name="STWBD_StatToolsStack_VarSelectorDefaultDataSet" hidden="1">"DG12A19417"</definedName>
    <definedName name="STWBD_StatToolsUnstack_CategoryVariable" hidden="1">"U_x0001_VG1287A564C79D1A2_x0001_"</definedName>
    <definedName name="STWBD_StatToolsUnstack_HasDefaultInfo" hidden="1">"TRUE"</definedName>
    <definedName name="STWBD_StatToolsUnstack_ValueVariableList" hidden="1">5</definedName>
    <definedName name="STWBD_StatToolsUnstack_ValueVariableList_1" hidden="1">"U_x0001_VG2D855750251DBEF_x0001_"</definedName>
    <definedName name="STWBD_StatToolsUnstack_ValueVariableList_2" hidden="1">"U_x0001_VG14002A7CFE0BD77_x0001_"</definedName>
    <definedName name="STWBD_StatToolsUnstack_ValueVariableList_3" hidden="1">"U_x0001_VG1AC5D4FF277C87D9_x0001_"</definedName>
    <definedName name="STWBD_StatToolsUnstack_ValueVariableList_4" hidden="1">"U_x0001_VG283D345233AF79B1_x0001_"</definedName>
    <definedName name="STWBD_StatToolsUnstack_ValueVariableList_5" hidden="1">"U_x0001_VG24F819A39B4EEB5_x0001_"</definedName>
    <definedName name="STWBD_StatToolsUnstack_VarSelectorDefaultDataSet" hidden="1">"DG12A19417"</definedName>
  </definedNames>
  <calcPr calcId="171027"/>
  <fileRecoveryPr repairLoad="1"/>
</workbook>
</file>

<file path=xl/calcChain.xml><?xml version="1.0" encoding="utf-8"?>
<calcChain xmlns="http://schemas.openxmlformats.org/spreadsheetml/2006/main">
  <c r="S1" i="27" l="1"/>
  <c r="R1" i="27"/>
  <c r="Q1" i="27"/>
  <c r="P1" i="27"/>
  <c r="O1" i="27"/>
  <c r="N1" i="27"/>
  <c r="M1" i="27"/>
  <c r="G1" i="27"/>
  <c r="F1" i="27"/>
  <c r="E1" i="27"/>
  <c r="D1" i="27"/>
  <c r="H1" i="27"/>
  <c r="J1" i="27"/>
  <c r="I1" i="27"/>
  <c r="N3" i="27" l="1"/>
  <c r="N4" i="27" s="1"/>
  <c r="N5" i="27" s="1"/>
  <c r="N6" i="27" s="1"/>
  <c r="N7" i="27" s="1"/>
  <c r="N8" i="27" s="1"/>
  <c r="N9" i="27" s="1"/>
  <c r="N10" i="27" s="1"/>
  <c r="N11" i="27" s="1"/>
  <c r="N12" i="27" s="1"/>
  <c r="N13" i="27" s="1"/>
  <c r="N14" i="27" s="1"/>
  <c r="N15" i="27" s="1"/>
  <c r="N16" i="27" s="1"/>
  <c r="N17" i="27" s="1"/>
  <c r="N18" i="27" s="1"/>
  <c r="N19" i="27" s="1"/>
  <c r="N20" i="27" s="1"/>
  <c r="N21" i="27" s="1"/>
  <c r="N22" i="27" s="1"/>
  <c r="N23" i="27" s="1"/>
  <c r="N24" i="27" s="1"/>
  <c r="N25" i="27" s="1"/>
  <c r="N26" i="27" s="1"/>
  <c r="N27" i="27" s="1"/>
  <c r="N28" i="27" s="1"/>
  <c r="N29" i="27" s="1"/>
  <c r="N30" i="27" s="1"/>
  <c r="N31" i="27" s="1"/>
  <c r="N32" i="27" s="1"/>
  <c r="N33" i="27" s="1"/>
  <c r="N34" i="27" s="1"/>
  <c r="N35" i="27" s="1"/>
  <c r="N36" i="27" s="1"/>
  <c r="N37" i="27" s="1"/>
  <c r="N38" i="27" s="1"/>
  <c r="N39" i="27" s="1"/>
  <c r="N40" i="27" s="1"/>
  <c r="N41" i="27" s="1"/>
  <c r="N42" i="27" s="1"/>
  <c r="N43" i="27" s="1"/>
  <c r="N44" i="27" s="1"/>
  <c r="N45" i="27" s="1"/>
  <c r="N46" i="27" s="1"/>
  <c r="N47" i="27" s="1"/>
  <c r="N48" i="27" s="1"/>
  <c r="N49" i="27" s="1"/>
  <c r="N50" i="27" s="1"/>
  <c r="N51" i="27" s="1"/>
  <c r="N52" i="27" s="1"/>
  <c r="N53" i="27" s="1"/>
  <c r="N54" i="27" s="1"/>
  <c r="N55" i="27" s="1"/>
  <c r="N56" i="27" s="1"/>
  <c r="N57" i="27" s="1"/>
  <c r="N58" i="27" s="1"/>
  <c r="N59" i="27" s="1"/>
  <c r="N60" i="27" s="1"/>
  <c r="N61" i="27" s="1"/>
  <c r="N62" i="27" s="1"/>
  <c r="N63" i="27" s="1"/>
  <c r="N64" i="27" s="1"/>
  <c r="N65" i="27" s="1"/>
  <c r="N66" i="27" s="1"/>
  <c r="N67" i="27" s="1"/>
  <c r="N68" i="27" s="1"/>
  <c r="N69" i="27" s="1"/>
  <c r="N70" i="27" s="1"/>
  <c r="N71" i="27" s="1"/>
  <c r="N72" i="27" s="1"/>
  <c r="N73" i="27" s="1"/>
  <c r="N74" i="27" s="1"/>
  <c r="N75" i="27" s="1"/>
  <c r="N76" i="27" s="1"/>
  <c r="N77" i="27" s="1"/>
  <c r="N78" i="27" s="1"/>
  <c r="N79" i="27" s="1"/>
  <c r="N80" i="27" s="1"/>
  <c r="N81" i="27" s="1"/>
  <c r="N82" i="27" s="1"/>
  <c r="N83" i="27" s="1"/>
  <c r="N84" i="27" s="1"/>
  <c r="N85" i="27" s="1"/>
  <c r="N86" i="27" s="1"/>
  <c r="N87" i="27" s="1"/>
  <c r="N88" i="27" s="1"/>
  <c r="N89" i="27" s="1"/>
  <c r="N90" i="27" s="1"/>
  <c r="N91" i="27" s="1"/>
  <c r="N92" i="27" s="1"/>
  <c r="N93" i="27" s="1"/>
  <c r="N94" i="27" s="1"/>
  <c r="N95" i="27" s="1"/>
  <c r="N96" i="27" s="1"/>
  <c r="N97" i="27" s="1"/>
  <c r="N98" i="27" s="1"/>
  <c r="N99" i="27" s="1"/>
  <c r="N100" i="27" s="1"/>
  <c r="N101" i="27" s="1"/>
  <c r="N102" i="27" s="1"/>
  <c r="N103" i="27" s="1"/>
  <c r="N104" i="27" s="1"/>
  <c r="N105" i="27" s="1"/>
  <c r="N106" i="27" s="1"/>
  <c r="N107" i="27" s="1"/>
  <c r="N108" i="27" s="1"/>
  <c r="N109" i="27" s="1"/>
  <c r="N110" i="27" s="1"/>
  <c r="N111" i="27" s="1"/>
  <c r="N112" i="27" s="1"/>
  <c r="N113" i="27" s="1"/>
  <c r="N114" i="27" s="1"/>
  <c r="N115" i="27" s="1"/>
  <c r="N116" i="27" s="1"/>
  <c r="N117" i="27" s="1"/>
  <c r="M4" i="27"/>
  <c r="M5" i="27" s="1"/>
  <c r="M6" i="27" s="1"/>
  <c r="M7" i="27" s="1"/>
  <c r="M8" i="27" s="1"/>
  <c r="M9" i="27" s="1"/>
  <c r="M10" i="27" s="1"/>
  <c r="M11" i="27" s="1"/>
  <c r="M12" i="27" s="1"/>
  <c r="M13" i="27" s="1"/>
  <c r="M14" i="27" s="1"/>
  <c r="M15" i="27" s="1"/>
  <c r="M16" i="27" s="1"/>
  <c r="M17" i="27" s="1"/>
  <c r="M18" i="27" s="1"/>
  <c r="M19" i="27" s="1"/>
  <c r="M20" i="27" s="1"/>
  <c r="M21" i="27" s="1"/>
  <c r="M22" i="27" s="1"/>
  <c r="M23" i="27" s="1"/>
  <c r="M24" i="27" s="1"/>
  <c r="M25" i="27" s="1"/>
  <c r="M26" i="27" s="1"/>
  <c r="M27" i="27" s="1"/>
  <c r="M28" i="27" s="1"/>
  <c r="M29" i="27" s="1"/>
  <c r="M30" i="27" s="1"/>
  <c r="M31" i="27" s="1"/>
  <c r="M32" i="27" s="1"/>
  <c r="M33" i="27" s="1"/>
  <c r="M34" i="27" s="1"/>
  <c r="M35" i="27" s="1"/>
  <c r="M36" i="27" s="1"/>
  <c r="M37" i="27" s="1"/>
  <c r="M38" i="27" s="1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M58" i="27" s="1"/>
  <c r="M59" i="27" s="1"/>
  <c r="M60" i="27" s="1"/>
  <c r="M61" i="27" s="1"/>
  <c r="M62" i="27" s="1"/>
  <c r="M63" i="27" s="1"/>
  <c r="M64" i="27" s="1"/>
  <c r="M65" i="27" s="1"/>
  <c r="M66" i="27" s="1"/>
  <c r="M67" i="27" s="1"/>
  <c r="M68" i="27" s="1"/>
  <c r="M69" i="27" s="1"/>
  <c r="M70" i="27" s="1"/>
  <c r="M71" i="27" s="1"/>
  <c r="M72" i="27" s="1"/>
  <c r="M73" i="27" s="1"/>
  <c r="M74" i="27" s="1"/>
  <c r="M75" i="27" s="1"/>
  <c r="M76" i="27" s="1"/>
  <c r="M77" i="27" s="1"/>
  <c r="M78" i="27" s="1"/>
  <c r="M79" i="27" s="1"/>
  <c r="M80" i="27" s="1"/>
  <c r="M81" i="27" s="1"/>
  <c r="M82" i="27" s="1"/>
  <c r="M83" i="27" s="1"/>
  <c r="M84" i="27" s="1"/>
  <c r="M85" i="27" s="1"/>
  <c r="M86" i="27" s="1"/>
  <c r="M87" i="27" s="1"/>
  <c r="M88" i="27" s="1"/>
  <c r="M89" i="27" s="1"/>
  <c r="M90" i="27" s="1"/>
  <c r="M91" i="27" s="1"/>
  <c r="M92" i="27" s="1"/>
  <c r="M93" i="27" s="1"/>
  <c r="M94" i="27" s="1"/>
  <c r="M95" i="27" s="1"/>
  <c r="M96" i="27" s="1"/>
  <c r="M97" i="27" s="1"/>
  <c r="M98" i="27" s="1"/>
  <c r="M99" i="27" s="1"/>
  <c r="M100" i="27" s="1"/>
  <c r="M101" i="27" s="1"/>
  <c r="M102" i="27" s="1"/>
  <c r="M103" i="27" s="1"/>
  <c r="M104" i="27" s="1"/>
  <c r="M105" i="27" s="1"/>
  <c r="M106" i="27" s="1"/>
  <c r="M107" i="27" s="1"/>
  <c r="M108" i="27" s="1"/>
  <c r="M109" i="27" s="1"/>
  <c r="M110" i="27" s="1"/>
  <c r="M111" i="27" s="1"/>
  <c r="M112" i="27" s="1"/>
  <c r="M113" i="27" s="1"/>
  <c r="M114" i="27" s="1"/>
  <c r="M115" i="27" s="1"/>
  <c r="M116" i="27" s="1"/>
  <c r="M117" i="27" s="1"/>
  <c r="M3" i="27"/>
  <c r="W8" i="27"/>
  <c r="W7" i="27"/>
  <c r="V7" i="27"/>
  <c r="D3" i="27" s="1"/>
  <c r="D4" i="27" s="1"/>
  <c r="D5" i="27" s="1"/>
  <c r="D6" i="27" s="1"/>
  <c r="D7" i="27" s="1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V8" i="27"/>
  <c r="E3" i="27" s="1"/>
  <c r="E4" i="27" s="1"/>
  <c r="E5" i="27" s="1"/>
  <c r="E6" i="27" s="1"/>
  <c r="E7" i="27" s="1"/>
  <c r="E8" i="27" s="1"/>
  <c r="E9" i="27" s="1"/>
  <c r="E10" i="27" s="1"/>
  <c r="E11" i="27" s="1"/>
  <c r="E12" i="27" s="1"/>
  <c r="E13" i="27" s="1"/>
  <c r="E14" i="27" s="1"/>
  <c r="E15" i="27" s="1"/>
  <c r="E16" i="27" s="1"/>
  <c r="E17" i="27" s="1"/>
  <c r="E18" i="27" s="1"/>
  <c r="E19" i="27" s="1"/>
  <c r="E20" i="27" s="1"/>
  <c r="E21" i="27" s="1"/>
  <c r="E22" i="27" s="1"/>
  <c r="E23" i="27" s="1"/>
  <c r="E24" i="27" s="1"/>
  <c r="E25" i="27" s="1"/>
  <c r="E26" i="27" s="1"/>
  <c r="E27" i="27" s="1"/>
  <c r="E28" i="27" s="1"/>
  <c r="E29" i="27" s="1"/>
  <c r="E30" i="27" s="1"/>
  <c r="E31" i="27" s="1"/>
  <c r="E32" i="27" s="1"/>
  <c r="E33" i="27" s="1"/>
  <c r="E34" i="27" s="1"/>
  <c r="E35" i="27" s="1"/>
  <c r="E36" i="27" s="1"/>
  <c r="E37" i="27" s="1"/>
  <c r="E38" i="27" s="1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E107" i="27" s="1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K20" i="20"/>
  <c r="J20" i="20"/>
  <c r="I20" i="20"/>
  <c r="H20" i="20"/>
  <c r="G20" i="20"/>
  <c r="F20" i="20"/>
  <c r="E20" i="20"/>
  <c r="D20" i="20"/>
  <c r="C20" i="20"/>
  <c r="B20" i="20"/>
  <c r="M122" i="20"/>
  <c r="M121" i="20"/>
  <c r="M120" i="20"/>
  <c r="M119" i="20"/>
  <c r="M118" i="20"/>
  <c r="M117" i="20"/>
  <c r="M116" i="20"/>
  <c r="M115" i="20"/>
  <c r="M114" i="20"/>
  <c r="M113" i="20"/>
  <c r="M112" i="20"/>
  <c r="M111" i="20"/>
  <c r="M110" i="20"/>
  <c r="M109" i="20"/>
  <c r="M108" i="20"/>
  <c r="M107" i="20"/>
  <c r="M106" i="20"/>
  <c r="M105" i="20"/>
  <c r="M104" i="20"/>
  <c r="M103" i="20"/>
  <c r="M102" i="20"/>
  <c r="M101" i="20"/>
  <c r="M100" i="20"/>
  <c r="M99" i="20"/>
  <c r="M98" i="20"/>
  <c r="M97" i="20"/>
  <c r="M96" i="20"/>
  <c r="M95" i="20"/>
  <c r="M94" i="20"/>
  <c r="M93" i="20"/>
  <c r="M92" i="20"/>
  <c r="M91" i="20"/>
  <c r="M90" i="20"/>
  <c r="M89" i="20"/>
  <c r="M88" i="20"/>
  <c r="M87" i="20"/>
  <c r="M86" i="20"/>
  <c r="M85" i="20"/>
  <c r="M84" i="20"/>
  <c r="M83" i="20"/>
  <c r="M82" i="20"/>
  <c r="M81" i="20"/>
  <c r="M80" i="20"/>
  <c r="M79" i="20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P3" i="20"/>
  <c r="L117" i="27"/>
  <c r="L116" i="27"/>
  <c r="L115" i="27"/>
  <c r="L114" i="27"/>
  <c r="L113" i="27"/>
  <c r="L112" i="27"/>
  <c r="L111" i="27"/>
  <c r="L110" i="27"/>
  <c r="L109" i="27"/>
  <c r="L108" i="27"/>
  <c r="L107" i="27"/>
  <c r="L106" i="27"/>
  <c r="L105" i="27"/>
  <c r="L104" i="27"/>
  <c r="L103" i="27"/>
  <c r="L102" i="27"/>
  <c r="L101" i="27"/>
  <c r="L100" i="27"/>
  <c r="L99" i="27"/>
  <c r="L98" i="27"/>
  <c r="L97" i="27"/>
  <c r="L96" i="27"/>
  <c r="L95" i="27"/>
  <c r="L94" i="27"/>
  <c r="L93" i="27"/>
  <c r="L92" i="27"/>
  <c r="L91" i="27"/>
  <c r="L90" i="27"/>
  <c r="L89" i="27"/>
  <c r="L88" i="27"/>
  <c r="L87" i="27"/>
  <c r="L86" i="27"/>
  <c r="L85" i="27"/>
  <c r="L84" i="27"/>
  <c r="L83" i="27"/>
  <c r="L82" i="27"/>
  <c r="L81" i="27"/>
  <c r="L80" i="27"/>
  <c r="L79" i="27"/>
  <c r="L78" i="27"/>
  <c r="L77" i="27"/>
  <c r="L76" i="27"/>
  <c r="L75" i="27"/>
  <c r="L74" i="27"/>
  <c r="L73" i="27"/>
  <c r="L72" i="27"/>
  <c r="L71" i="27"/>
  <c r="L70" i="27"/>
  <c r="L69" i="27"/>
  <c r="L68" i="27"/>
  <c r="L67" i="27"/>
  <c r="L66" i="27"/>
  <c r="L65" i="27"/>
  <c r="L64" i="27"/>
  <c r="L63" i="27"/>
  <c r="L62" i="27"/>
  <c r="L61" i="27"/>
  <c r="L60" i="27"/>
  <c r="L59" i="27"/>
  <c r="L58" i="27"/>
  <c r="L57" i="27"/>
  <c r="L56" i="27"/>
  <c r="L55" i="27"/>
  <c r="L54" i="27"/>
  <c r="L53" i="27"/>
  <c r="L52" i="27"/>
  <c r="L51" i="27"/>
  <c r="L50" i="27"/>
  <c r="L49" i="27"/>
  <c r="L48" i="27"/>
  <c r="L47" i="27"/>
  <c r="L46" i="27"/>
  <c r="L45" i="27"/>
  <c r="L44" i="27"/>
  <c r="L43" i="27"/>
  <c r="L42" i="27"/>
  <c r="L41" i="27"/>
  <c r="L40" i="27"/>
  <c r="L39" i="27"/>
  <c r="L38" i="27"/>
  <c r="L37" i="27"/>
  <c r="L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S117" i="27"/>
  <c r="R117" i="27"/>
  <c r="Q117" i="27"/>
  <c r="P117" i="27"/>
  <c r="O117" i="27"/>
  <c r="S116" i="27"/>
  <c r="R116" i="27"/>
  <c r="Q116" i="27"/>
  <c r="P116" i="27"/>
  <c r="O116" i="27"/>
  <c r="S115" i="27"/>
  <c r="R115" i="27"/>
  <c r="Q115" i="27"/>
  <c r="P115" i="27"/>
  <c r="O115" i="27"/>
  <c r="S114" i="27"/>
  <c r="R114" i="27"/>
  <c r="Q114" i="27"/>
  <c r="P114" i="27"/>
  <c r="O114" i="27"/>
  <c r="S113" i="27"/>
  <c r="R113" i="27"/>
  <c r="Q113" i="27"/>
  <c r="P113" i="27"/>
  <c r="O113" i="27"/>
  <c r="S112" i="27"/>
  <c r="R112" i="27"/>
  <c r="Q112" i="27"/>
  <c r="P112" i="27"/>
  <c r="O112" i="27"/>
  <c r="S111" i="27"/>
  <c r="R111" i="27"/>
  <c r="Q111" i="27"/>
  <c r="P111" i="27"/>
  <c r="O111" i="27"/>
  <c r="S110" i="27"/>
  <c r="R110" i="27"/>
  <c r="Q110" i="27"/>
  <c r="P110" i="27"/>
  <c r="O110" i="27"/>
  <c r="S109" i="27"/>
  <c r="R109" i="27"/>
  <c r="Q109" i="27"/>
  <c r="P109" i="27"/>
  <c r="O109" i="27"/>
  <c r="S108" i="27"/>
  <c r="R108" i="27"/>
  <c r="Q108" i="27"/>
  <c r="P108" i="27"/>
  <c r="O108" i="27"/>
  <c r="S107" i="27"/>
  <c r="R107" i="27"/>
  <c r="Q107" i="27"/>
  <c r="P107" i="27"/>
  <c r="O107" i="27"/>
  <c r="S106" i="27"/>
  <c r="R106" i="27"/>
  <c r="Q106" i="27"/>
  <c r="P106" i="27"/>
  <c r="O106" i="27"/>
  <c r="S105" i="27"/>
  <c r="R105" i="27"/>
  <c r="Q105" i="27"/>
  <c r="P105" i="27"/>
  <c r="O105" i="27"/>
  <c r="S104" i="27"/>
  <c r="R104" i="27"/>
  <c r="Q104" i="27"/>
  <c r="P104" i="27"/>
  <c r="O104" i="27"/>
  <c r="S103" i="27"/>
  <c r="R103" i="27"/>
  <c r="Q103" i="27"/>
  <c r="P103" i="27"/>
  <c r="O103" i="27"/>
  <c r="S102" i="27"/>
  <c r="R102" i="27"/>
  <c r="Q102" i="27"/>
  <c r="P102" i="27"/>
  <c r="O102" i="27"/>
  <c r="S101" i="27"/>
  <c r="R101" i="27"/>
  <c r="Q101" i="27"/>
  <c r="P101" i="27"/>
  <c r="O101" i="27"/>
  <c r="S100" i="27"/>
  <c r="R100" i="27"/>
  <c r="Q100" i="27"/>
  <c r="P100" i="27"/>
  <c r="O100" i="27"/>
  <c r="S99" i="27"/>
  <c r="R99" i="27"/>
  <c r="Q99" i="27"/>
  <c r="P99" i="27"/>
  <c r="O99" i="27"/>
  <c r="S98" i="27"/>
  <c r="R98" i="27"/>
  <c r="Q98" i="27"/>
  <c r="P98" i="27"/>
  <c r="O98" i="27"/>
  <c r="S97" i="27"/>
  <c r="R97" i="27"/>
  <c r="Q97" i="27"/>
  <c r="P97" i="27"/>
  <c r="O97" i="27"/>
  <c r="S96" i="27"/>
  <c r="R96" i="27"/>
  <c r="Q96" i="27"/>
  <c r="P96" i="27"/>
  <c r="O96" i="27"/>
  <c r="S95" i="27"/>
  <c r="R95" i="27"/>
  <c r="Q95" i="27"/>
  <c r="P95" i="27"/>
  <c r="O95" i="27"/>
  <c r="S94" i="27"/>
  <c r="R94" i="27"/>
  <c r="Q94" i="27"/>
  <c r="P94" i="27"/>
  <c r="O94" i="27"/>
  <c r="S93" i="27"/>
  <c r="R93" i="27"/>
  <c r="Q93" i="27"/>
  <c r="P93" i="27"/>
  <c r="O93" i="27"/>
  <c r="S92" i="27"/>
  <c r="R92" i="27"/>
  <c r="Q92" i="27"/>
  <c r="P92" i="27"/>
  <c r="O92" i="27"/>
  <c r="S91" i="27"/>
  <c r="R91" i="27"/>
  <c r="Q91" i="27"/>
  <c r="P91" i="27"/>
  <c r="O91" i="27"/>
  <c r="S90" i="27"/>
  <c r="R90" i="27"/>
  <c r="Q90" i="27"/>
  <c r="P90" i="27"/>
  <c r="O90" i="27"/>
  <c r="S89" i="27"/>
  <c r="R89" i="27"/>
  <c r="Q89" i="27"/>
  <c r="P89" i="27"/>
  <c r="O89" i="27"/>
  <c r="S88" i="27"/>
  <c r="R88" i="27"/>
  <c r="Q88" i="27"/>
  <c r="P88" i="27"/>
  <c r="O88" i="27"/>
  <c r="S87" i="27"/>
  <c r="R87" i="27"/>
  <c r="Q87" i="27"/>
  <c r="P87" i="27"/>
  <c r="O87" i="27"/>
  <c r="S86" i="27"/>
  <c r="R86" i="27"/>
  <c r="Q86" i="27"/>
  <c r="P86" i="27"/>
  <c r="O86" i="27"/>
  <c r="S85" i="27"/>
  <c r="R85" i="27"/>
  <c r="Q85" i="27"/>
  <c r="P85" i="27"/>
  <c r="O85" i="27"/>
  <c r="S84" i="27"/>
  <c r="R84" i="27"/>
  <c r="Q84" i="27"/>
  <c r="P84" i="27"/>
  <c r="O84" i="27"/>
  <c r="S83" i="27"/>
  <c r="R83" i="27"/>
  <c r="Q83" i="27"/>
  <c r="P83" i="27"/>
  <c r="O83" i="27"/>
  <c r="S82" i="27"/>
  <c r="R82" i="27"/>
  <c r="Q82" i="27"/>
  <c r="P82" i="27"/>
  <c r="O82" i="27"/>
  <c r="S81" i="27"/>
  <c r="R81" i="27"/>
  <c r="Q81" i="27"/>
  <c r="P81" i="27"/>
  <c r="O81" i="27"/>
  <c r="S80" i="27"/>
  <c r="R80" i="27"/>
  <c r="Q80" i="27"/>
  <c r="P80" i="27"/>
  <c r="O80" i="27"/>
  <c r="S79" i="27"/>
  <c r="R79" i="27"/>
  <c r="Q79" i="27"/>
  <c r="P79" i="27"/>
  <c r="O79" i="27"/>
  <c r="S78" i="27"/>
  <c r="R78" i="27"/>
  <c r="Q78" i="27"/>
  <c r="P78" i="27"/>
  <c r="O78" i="27"/>
  <c r="S77" i="27"/>
  <c r="R77" i="27"/>
  <c r="Q77" i="27"/>
  <c r="P77" i="27"/>
  <c r="O77" i="27"/>
  <c r="S76" i="27"/>
  <c r="R76" i="27"/>
  <c r="Q76" i="27"/>
  <c r="P76" i="27"/>
  <c r="O76" i="27"/>
  <c r="S75" i="27"/>
  <c r="R75" i="27"/>
  <c r="Q75" i="27"/>
  <c r="P75" i="27"/>
  <c r="O75" i="27"/>
  <c r="S74" i="27"/>
  <c r="R74" i="27"/>
  <c r="Q74" i="27"/>
  <c r="P74" i="27"/>
  <c r="O74" i="27"/>
  <c r="S73" i="27"/>
  <c r="R73" i="27"/>
  <c r="Q73" i="27"/>
  <c r="P73" i="27"/>
  <c r="O73" i="27"/>
  <c r="S72" i="27"/>
  <c r="R72" i="27"/>
  <c r="Q72" i="27"/>
  <c r="P72" i="27"/>
  <c r="O72" i="27"/>
  <c r="S71" i="27"/>
  <c r="R71" i="27"/>
  <c r="Q71" i="27"/>
  <c r="P71" i="27"/>
  <c r="O71" i="27"/>
  <c r="S70" i="27"/>
  <c r="R70" i="27"/>
  <c r="Q70" i="27"/>
  <c r="P70" i="27"/>
  <c r="O70" i="27"/>
  <c r="S69" i="27"/>
  <c r="R69" i="27"/>
  <c r="Q69" i="27"/>
  <c r="P69" i="27"/>
  <c r="O69" i="27"/>
  <c r="S68" i="27"/>
  <c r="R68" i="27"/>
  <c r="Q68" i="27"/>
  <c r="P68" i="27"/>
  <c r="O68" i="27"/>
  <c r="S67" i="27"/>
  <c r="R67" i="27"/>
  <c r="Q67" i="27"/>
  <c r="P67" i="27"/>
  <c r="O67" i="27"/>
  <c r="S66" i="27"/>
  <c r="R66" i="27"/>
  <c r="Q66" i="27"/>
  <c r="P66" i="27"/>
  <c r="O66" i="27"/>
  <c r="S65" i="27"/>
  <c r="R65" i="27"/>
  <c r="Q65" i="27"/>
  <c r="P65" i="27"/>
  <c r="O65" i="27"/>
  <c r="S64" i="27"/>
  <c r="R64" i="27"/>
  <c r="Q64" i="27"/>
  <c r="P64" i="27"/>
  <c r="O64" i="27"/>
  <c r="S63" i="27"/>
  <c r="R63" i="27"/>
  <c r="Q63" i="27"/>
  <c r="P63" i="27"/>
  <c r="O63" i="27"/>
  <c r="S62" i="27"/>
  <c r="R62" i="27"/>
  <c r="Q62" i="27"/>
  <c r="P62" i="27"/>
  <c r="O62" i="27"/>
  <c r="S61" i="27"/>
  <c r="R61" i="27"/>
  <c r="Q61" i="27"/>
  <c r="P61" i="27"/>
  <c r="O61" i="27"/>
  <c r="S60" i="27"/>
  <c r="R60" i="27"/>
  <c r="Q60" i="27"/>
  <c r="P60" i="27"/>
  <c r="O60" i="27"/>
  <c r="S59" i="27"/>
  <c r="R59" i="27"/>
  <c r="Q59" i="27"/>
  <c r="P59" i="27"/>
  <c r="O59" i="27"/>
  <c r="S58" i="27"/>
  <c r="R58" i="27"/>
  <c r="Q58" i="27"/>
  <c r="P58" i="27"/>
  <c r="O58" i="27"/>
  <c r="S57" i="27"/>
  <c r="R57" i="27"/>
  <c r="Q57" i="27"/>
  <c r="P57" i="27"/>
  <c r="O57" i="27"/>
  <c r="S56" i="27"/>
  <c r="R56" i="27"/>
  <c r="Q56" i="27"/>
  <c r="P56" i="27"/>
  <c r="O56" i="27"/>
  <c r="S55" i="27"/>
  <c r="R55" i="27"/>
  <c r="Q55" i="27"/>
  <c r="P55" i="27"/>
  <c r="O55" i="27"/>
  <c r="S54" i="27"/>
  <c r="R54" i="27"/>
  <c r="Q54" i="27"/>
  <c r="P54" i="27"/>
  <c r="O54" i="27"/>
  <c r="S53" i="27"/>
  <c r="R53" i="27"/>
  <c r="Q53" i="27"/>
  <c r="P53" i="27"/>
  <c r="O53" i="27"/>
  <c r="S52" i="27"/>
  <c r="R52" i="27"/>
  <c r="Q52" i="27"/>
  <c r="P52" i="27"/>
  <c r="O52" i="27"/>
  <c r="S51" i="27"/>
  <c r="R51" i="27"/>
  <c r="Q51" i="27"/>
  <c r="P51" i="27"/>
  <c r="O51" i="27"/>
  <c r="S50" i="27"/>
  <c r="R50" i="27"/>
  <c r="Q50" i="27"/>
  <c r="P50" i="27"/>
  <c r="O50" i="27"/>
  <c r="S49" i="27"/>
  <c r="R49" i="27"/>
  <c r="Q49" i="27"/>
  <c r="P49" i="27"/>
  <c r="O49" i="27"/>
  <c r="S48" i="27"/>
  <c r="R48" i="27"/>
  <c r="Q48" i="27"/>
  <c r="P48" i="27"/>
  <c r="O48" i="27"/>
  <c r="S47" i="27"/>
  <c r="R47" i="27"/>
  <c r="Q47" i="27"/>
  <c r="P47" i="27"/>
  <c r="O47" i="27"/>
  <c r="S46" i="27"/>
  <c r="R46" i="27"/>
  <c r="Q46" i="27"/>
  <c r="P46" i="27"/>
  <c r="O46" i="27"/>
  <c r="S45" i="27"/>
  <c r="R45" i="27"/>
  <c r="Q45" i="27"/>
  <c r="P45" i="27"/>
  <c r="O45" i="27"/>
  <c r="S44" i="27"/>
  <c r="R44" i="27"/>
  <c r="Q44" i="27"/>
  <c r="P44" i="27"/>
  <c r="O44" i="27"/>
  <c r="S43" i="27"/>
  <c r="R43" i="27"/>
  <c r="Q43" i="27"/>
  <c r="P43" i="27"/>
  <c r="O43" i="27"/>
  <c r="S42" i="27"/>
  <c r="R42" i="27"/>
  <c r="Q42" i="27"/>
  <c r="P42" i="27"/>
  <c r="O42" i="27"/>
  <c r="S41" i="27"/>
  <c r="R41" i="27"/>
  <c r="Q41" i="27"/>
  <c r="P41" i="27"/>
  <c r="O41" i="27"/>
  <c r="S40" i="27"/>
  <c r="R40" i="27"/>
  <c r="Q40" i="27"/>
  <c r="P40" i="27"/>
  <c r="O40" i="27"/>
  <c r="S39" i="27"/>
  <c r="R39" i="27"/>
  <c r="Q39" i="27"/>
  <c r="P39" i="27"/>
  <c r="O39" i="27"/>
  <c r="S38" i="27"/>
  <c r="R38" i="27"/>
  <c r="Q38" i="27"/>
  <c r="P38" i="27"/>
  <c r="O38" i="27"/>
  <c r="S37" i="27"/>
  <c r="R37" i="27"/>
  <c r="Q37" i="27"/>
  <c r="P37" i="27"/>
  <c r="O37" i="27"/>
  <c r="S36" i="27"/>
  <c r="R36" i="27"/>
  <c r="Q36" i="27"/>
  <c r="P36" i="27"/>
  <c r="O36" i="27"/>
  <c r="S35" i="27"/>
  <c r="R35" i="27"/>
  <c r="Q35" i="27"/>
  <c r="P35" i="27"/>
  <c r="O35" i="27"/>
  <c r="S34" i="27"/>
  <c r="R34" i="27"/>
  <c r="Q34" i="27"/>
  <c r="P34" i="27"/>
  <c r="O34" i="27"/>
  <c r="S33" i="27"/>
  <c r="R33" i="27"/>
  <c r="Q33" i="27"/>
  <c r="P33" i="27"/>
  <c r="O33" i="27"/>
  <c r="S32" i="27"/>
  <c r="R32" i="27"/>
  <c r="Q32" i="27"/>
  <c r="P32" i="27"/>
  <c r="O32" i="27"/>
  <c r="S31" i="27"/>
  <c r="R31" i="27"/>
  <c r="Q31" i="27"/>
  <c r="P31" i="27"/>
  <c r="O31" i="27"/>
  <c r="S30" i="27"/>
  <c r="R30" i="27"/>
  <c r="Q30" i="27"/>
  <c r="P30" i="27"/>
  <c r="O30" i="27"/>
  <c r="S29" i="27"/>
  <c r="R29" i="27"/>
  <c r="Q29" i="27"/>
  <c r="P29" i="27"/>
  <c r="O29" i="27"/>
  <c r="S28" i="27"/>
  <c r="R28" i="27"/>
  <c r="Q28" i="27"/>
  <c r="P28" i="27"/>
  <c r="O28" i="27"/>
  <c r="S27" i="27"/>
  <c r="R27" i="27"/>
  <c r="Q27" i="27"/>
  <c r="P27" i="27"/>
  <c r="O27" i="27"/>
  <c r="S26" i="27"/>
  <c r="R26" i="27"/>
  <c r="Q26" i="27"/>
  <c r="P26" i="27"/>
  <c r="O26" i="27"/>
  <c r="S25" i="27"/>
  <c r="R25" i="27"/>
  <c r="Q25" i="27"/>
  <c r="P25" i="27"/>
  <c r="O25" i="27"/>
  <c r="S24" i="27"/>
  <c r="R24" i="27"/>
  <c r="Q24" i="27"/>
  <c r="P24" i="27"/>
  <c r="O24" i="27"/>
  <c r="S23" i="27"/>
  <c r="R23" i="27"/>
  <c r="Q23" i="27"/>
  <c r="P23" i="27"/>
  <c r="O23" i="27"/>
  <c r="S22" i="27"/>
  <c r="R22" i="27"/>
  <c r="Q22" i="27"/>
  <c r="P22" i="27"/>
  <c r="O22" i="27"/>
  <c r="S21" i="27"/>
  <c r="R21" i="27"/>
  <c r="Q21" i="27"/>
  <c r="P21" i="27"/>
  <c r="O21" i="27"/>
  <c r="S20" i="27"/>
  <c r="R20" i="27"/>
  <c r="Q20" i="27"/>
  <c r="P20" i="27"/>
  <c r="O20" i="27"/>
  <c r="S19" i="27"/>
  <c r="R19" i="27"/>
  <c r="Q19" i="27"/>
  <c r="P19" i="27"/>
  <c r="O19" i="27"/>
  <c r="S18" i="27"/>
  <c r="R18" i="27"/>
  <c r="Q18" i="27"/>
  <c r="P18" i="27"/>
  <c r="O18" i="27"/>
  <c r="S17" i="27"/>
  <c r="R17" i="27"/>
  <c r="Q17" i="27"/>
  <c r="P17" i="27"/>
  <c r="O17" i="27"/>
  <c r="S16" i="27"/>
  <c r="R16" i="27"/>
  <c r="Q16" i="27"/>
  <c r="P16" i="27"/>
  <c r="O16" i="27"/>
  <c r="S15" i="27"/>
  <c r="R15" i="27"/>
  <c r="Q15" i="27"/>
  <c r="P15" i="27"/>
  <c r="O15" i="27"/>
  <c r="S14" i="27"/>
  <c r="R14" i="27"/>
  <c r="Q14" i="27"/>
  <c r="P14" i="27"/>
  <c r="O14" i="27"/>
  <c r="S13" i="27"/>
  <c r="R13" i="27"/>
  <c r="Q13" i="27"/>
  <c r="P13" i="27"/>
  <c r="O13" i="27"/>
  <c r="S12" i="27"/>
  <c r="R12" i="27"/>
  <c r="Q12" i="27"/>
  <c r="P12" i="27"/>
  <c r="O12" i="27"/>
  <c r="S11" i="27"/>
  <c r="R11" i="27"/>
  <c r="Q11" i="27"/>
  <c r="P11" i="27"/>
  <c r="O11" i="27"/>
  <c r="S10" i="27"/>
  <c r="R10" i="27"/>
  <c r="Q10" i="27"/>
  <c r="P10" i="27"/>
  <c r="O10" i="27"/>
  <c r="S9" i="27"/>
  <c r="R9" i="27"/>
  <c r="Q9" i="27"/>
  <c r="P9" i="27"/>
  <c r="O9" i="27"/>
  <c r="S8" i="27"/>
  <c r="R8" i="27"/>
  <c r="Q8" i="27"/>
  <c r="P8" i="27"/>
  <c r="O8" i="27"/>
  <c r="S7" i="27"/>
  <c r="R7" i="27"/>
  <c r="Q7" i="27"/>
  <c r="P7" i="27"/>
  <c r="O7" i="27"/>
  <c r="S6" i="27"/>
  <c r="R6" i="27"/>
  <c r="Q6" i="27"/>
  <c r="P6" i="27"/>
  <c r="O6" i="27"/>
  <c r="S5" i="27"/>
  <c r="R5" i="27"/>
  <c r="Q5" i="27"/>
  <c r="P5" i="27"/>
  <c r="O5" i="27"/>
  <c r="S4" i="27"/>
  <c r="R4" i="27"/>
  <c r="Q4" i="27"/>
  <c r="P4" i="27"/>
  <c r="O4" i="27"/>
  <c r="S3" i="27"/>
  <c r="R3" i="27"/>
  <c r="Q3" i="27"/>
  <c r="P3" i="27"/>
  <c r="O3" i="27"/>
  <c r="J117" i="27"/>
  <c r="I117" i="27"/>
  <c r="H117" i="27"/>
  <c r="G117" i="27"/>
  <c r="F117" i="27"/>
  <c r="J116" i="27"/>
  <c r="I116" i="27"/>
  <c r="H116" i="27"/>
  <c r="G116" i="27"/>
  <c r="F116" i="27"/>
  <c r="J115" i="27"/>
  <c r="I115" i="27"/>
  <c r="H115" i="27"/>
  <c r="G115" i="27"/>
  <c r="F115" i="27"/>
  <c r="J114" i="27"/>
  <c r="I114" i="27"/>
  <c r="H114" i="27"/>
  <c r="G114" i="27"/>
  <c r="F114" i="27"/>
  <c r="J113" i="27"/>
  <c r="I113" i="27"/>
  <c r="H113" i="27"/>
  <c r="G113" i="27"/>
  <c r="F113" i="27"/>
  <c r="J112" i="27"/>
  <c r="I112" i="27"/>
  <c r="H112" i="27"/>
  <c r="G112" i="27"/>
  <c r="F112" i="27"/>
  <c r="J111" i="27"/>
  <c r="I111" i="27"/>
  <c r="H111" i="27"/>
  <c r="G111" i="27"/>
  <c r="F111" i="27"/>
  <c r="J110" i="27"/>
  <c r="I110" i="27"/>
  <c r="H110" i="27"/>
  <c r="G110" i="27"/>
  <c r="F110" i="27"/>
  <c r="J109" i="27"/>
  <c r="I109" i="27"/>
  <c r="H109" i="27"/>
  <c r="G109" i="27"/>
  <c r="F109" i="27"/>
  <c r="J108" i="27"/>
  <c r="I108" i="27"/>
  <c r="H108" i="27"/>
  <c r="G108" i="27"/>
  <c r="F108" i="27"/>
  <c r="J107" i="27"/>
  <c r="I107" i="27"/>
  <c r="H107" i="27"/>
  <c r="G107" i="27"/>
  <c r="F107" i="27"/>
  <c r="J106" i="27"/>
  <c r="I106" i="27"/>
  <c r="H106" i="27"/>
  <c r="G106" i="27"/>
  <c r="F106" i="27"/>
  <c r="J105" i="27"/>
  <c r="I105" i="27"/>
  <c r="H105" i="27"/>
  <c r="G105" i="27"/>
  <c r="F105" i="27"/>
  <c r="J104" i="27"/>
  <c r="I104" i="27"/>
  <c r="H104" i="27"/>
  <c r="G104" i="27"/>
  <c r="F104" i="27"/>
  <c r="J103" i="27"/>
  <c r="I103" i="27"/>
  <c r="H103" i="27"/>
  <c r="G103" i="27"/>
  <c r="F103" i="27"/>
  <c r="J102" i="27"/>
  <c r="I102" i="27"/>
  <c r="H102" i="27"/>
  <c r="G102" i="27"/>
  <c r="F102" i="27"/>
  <c r="J101" i="27"/>
  <c r="I101" i="27"/>
  <c r="H101" i="27"/>
  <c r="G101" i="27"/>
  <c r="F101" i="27"/>
  <c r="J100" i="27"/>
  <c r="I100" i="27"/>
  <c r="H100" i="27"/>
  <c r="G100" i="27"/>
  <c r="F100" i="27"/>
  <c r="J99" i="27"/>
  <c r="I99" i="27"/>
  <c r="H99" i="27"/>
  <c r="G99" i="27"/>
  <c r="F99" i="27"/>
  <c r="J98" i="27"/>
  <c r="I98" i="27"/>
  <c r="H98" i="27"/>
  <c r="G98" i="27"/>
  <c r="F98" i="27"/>
  <c r="J97" i="27"/>
  <c r="I97" i="27"/>
  <c r="H97" i="27"/>
  <c r="G97" i="27"/>
  <c r="F97" i="27"/>
  <c r="J96" i="27"/>
  <c r="I96" i="27"/>
  <c r="H96" i="27"/>
  <c r="G96" i="27"/>
  <c r="F96" i="27"/>
  <c r="J95" i="27"/>
  <c r="I95" i="27"/>
  <c r="H95" i="27"/>
  <c r="G95" i="27"/>
  <c r="F95" i="27"/>
  <c r="J94" i="27"/>
  <c r="I94" i="27"/>
  <c r="H94" i="27"/>
  <c r="G94" i="27"/>
  <c r="F94" i="27"/>
  <c r="J93" i="27"/>
  <c r="I93" i="27"/>
  <c r="H93" i="27"/>
  <c r="G93" i="27"/>
  <c r="F93" i="27"/>
  <c r="J92" i="27"/>
  <c r="I92" i="27"/>
  <c r="H92" i="27"/>
  <c r="G92" i="27"/>
  <c r="F92" i="27"/>
  <c r="J91" i="27"/>
  <c r="I91" i="27"/>
  <c r="H91" i="27"/>
  <c r="G91" i="27"/>
  <c r="F91" i="27"/>
  <c r="J90" i="27"/>
  <c r="I90" i="27"/>
  <c r="H90" i="27"/>
  <c r="G90" i="27"/>
  <c r="F90" i="27"/>
  <c r="J89" i="27"/>
  <c r="I89" i="27"/>
  <c r="H89" i="27"/>
  <c r="G89" i="27"/>
  <c r="F89" i="27"/>
  <c r="J88" i="27"/>
  <c r="I88" i="27"/>
  <c r="H88" i="27"/>
  <c r="G88" i="27"/>
  <c r="F88" i="27"/>
  <c r="J87" i="27"/>
  <c r="I87" i="27"/>
  <c r="H87" i="27"/>
  <c r="G87" i="27"/>
  <c r="F87" i="27"/>
  <c r="J86" i="27"/>
  <c r="I86" i="27"/>
  <c r="H86" i="27"/>
  <c r="G86" i="27"/>
  <c r="F86" i="27"/>
  <c r="J85" i="27"/>
  <c r="I85" i="27"/>
  <c r="H85" i="27"/>
  <c r="G85" i="27"/>
  <c r="F85" i="27"/>
  <c r="J84" i="27"/>
  <c r="I84" i="27"/>
  <c r="H84" i="27"/>
  <c r="G84" i="27"/>
  <c r="F84" i="27"/>
  <c r="J83" i="27"/>
  <c r="I83" i="27"/>
  <c r="H83" i="27"/>
  <c r="G83" i="27"/>
  <c r="F83" i="27"/>
  <c r="J82" i="27"/>
  <c r="I82" i="27"/>
  <c r="H82" i="27"/>
  <c r="G82" i="27"/>
  <c r="F82" i="27"/>
  <c r="J81" i="27"/>
  <c r="I81" i="27"/>
  <c r="H81" i="27"/>
  <c r="G81" i="27"/>
  <c r="F81" i="27"/>
  <c r="J80" i="27"/>
  <c r="I80" i="27"/>
  <c r="H80" i="27"/>
  <c r="G80" i="27"/>
  <c r="F80" i="27"/>
  <c r="J79" i="27"/>
  <c r="I79" i="27"/>
  <c r="H79" i="27"/>
  <c r="G79" i="27"/>
  <c r="F79" i="27"/>
  <c r="J78" i="27"/>
  <c r="I78" i="27"/>
  <c r="H78" i="27"/>
  <c r="G78" i="27"/>
  <c r="F78" i="27"/>
  <c r="J77" i="27"/>
  <c r="I77" i="27"/>
  <c r="H77" i="27"/>
  <c r="G77" i="27"/>
  <c r="F77" i="27"/>
  <c r="J76" i="27"/>
  <c r="I76" i="27"/>
  <c r="H76" i="27"/>
  <c r="G76" i="27"/>
  <c r="F76" i="27"/>
  <c r="J75" i="27"/>
  <c r="I75" i="27"/>
  <c r="H75" i="27"/>
  <c r="G75" i="27"/>
  <c r="F75" i="27"/>
  <c r="J74" i="27"/>
  <c r="I74" i="27"/>
  <c r="H74" i="27"/>
  <c r="G74" i="27"/>
  <c r="F74" i="27"/>
  <c r="J73" i="27"/>
  <c r="I73" i="27"/>
  <c r="H73" i="27"/>
  <c r="G73" i="27"/>
  <c r="F73" i="27"/>
  <c r="J72" i="27"/>
  <c r="I72" i="27"/>
  <c r="H72" i="27"/>
  <c r="G72" i="27"/>
  <c r="F72" i="27"/>
  <c r="J71" i="27"/>
  <c r="I71" i="27"/>
  <c r="H71" i="27"/>
  <c r="G71" i="27"/>
  <c r="F71" i="27"/>
  <c r="J70" i="27"/>
  <c r="I70" i="27"/>
  <c r="H70" i="27"/>
  <c r="G70" i="27"/>
  <c r="F70" i="27"/>
  <c r="J69" i="27"/>
  <c r="I69" i="27"/>
  <c r="H69" i="27"/>
  <c r="G69" i="27"/>
  <c r="F69" i="27"/>
  <c r="J68" i="27"/>
  <c r="I68" i="27"/>
  <c r="H68" i="27"/>
  <c r="G68" i="27"/>
  <c r="F68" i="27"/>
  <c r="J67" i="27"/>
  <c r="I67" i="27"/>
  <c r="H67" i="27"/>
  <c r="G67" i="27"/>
  <c r="F67" i="27"/>
  <c r="J66" i="27"/>
  <c r="I66" i="27"/>
  <c r="H66" i="27"/>
  <c r="G66" i="27"/>
  <c r="F66" i="27"/>
  <c r="J65" i="27"/>
  <c r="I65" i="27"/>
  <c r="H65" i="27"/>
  <c r="G65" i="27"/>
  <c r="F65" i="27"/>
  <c r="J64" i="27"/>
  <c r="I64" i="27"/>
  <c r="H64" i="27"/>
  <c r="G64" i="27"/>
  <c r="F64" i="27"/>
  <c r="J63" i="27"/>
  <c r="I63" i="27"/>
  <c r="H63" i="27"/>
  <c r="G63" i="27"/>
  <c r="F63" i="27"/>
  <c r="J62" i="27"/>
  <c r="I62" i="27"/>
  <c r="H62" i="27"/>
  <c r="G62" i="27"/>
  <c r="F62" i="27"/>
  <c r="J61" i="27"/>
  <c r="I61" i="27"/>
  <c r="H61" i="27"/>
  <c r="G61" i="27"/>
  <c r="F61" i="27"/>
  <c r="J60" i="27"/>
  <c r="I60" i="27"/>
  <c r="H60" i="27"/>
  <c r="G60" i="27"/>
  <c r="F60" i="27"/>
  <c r="J59" i="27"/>
  <c r="I59" i="27"/>
  <c r="H59" i="27"/>
  <c r="G59" i="27"/>
  <c r="F59" i="27"/>
  <c r="J58" i="27"/>
  <c r="I58" i="27"/>
  <c r="H58" i="27"/>
  <c r="G58" i="27"/>
  <c r="F58" i="27"/>
  <c r="J57" i="27"/>
  <c r="I57" i="27"/>
  <c r="H57" i="27"/>
  <c r="G57" i="27"/>
  <c r="F57" i="27"/>
  <c r="J56" i="27"/>
  <c r="I56" i="27"/>
  <c r="H56" i="27"/>
  <c r="G56" i="27"/>
  <c r="F56" i="27"/>
  <c r="J55" i="27"/>
  <c r="I55" i="27"/>
  <c r="H55" i="27"/>
  <c r="G55" i="27"/>
  <c r="F55" i="27"/>
  <c r="J54" i="27"/>
  <c r="I54" i="27"/>
  <c r="H54" i="27"/>
  <c r="G54" i="27"/>
  <c r="F54" i="27"/>
  <c r="J53" i="27"/>
  <c r="I53" i="27"/>
  <c r="H53" i="27"/>
  <c r="G53" i="27"/>
  <c r="F53" i="27"/>
  <c r="J52" i="27"/>
  <c r="I52" i="27"/>
  <c r="H52" i="27"/>
  <c r="G52" i="27"/>
  <c r="F52" i="27"/>
  <c r="J51" i="27"/>
  <c r="I51" i="27"/>
  <c r="H51" i="27"/>
  <c r="G51" i="27"/>
  <c r="F51" i="27"/>
  <c r="J50" i="27"/>
  <c r="I50" i="27"/>
  <c r="H50" i="27"/>
  <c r="G50" i="27"/>
  <c r="F50" i="27"/>
  <c r="J49" i="27"/>
  <c r="I49" i="27"/>
  <c r="H49" i="27"/>
  <c r="G49" i="27"/>
  <c r="F49" i="27"/>
  <c r="J48" i="27"/>
  <c r="I48" i="27"/>
  <c r="H48" i="27"/>
  <c r="G48" i="27"/>
  <c r="F48" i="27"/>
  <c r="J47" i="27"/>
  <c r="I47" i="27"/>
  <c r="H47" i="27"/>
  <c r="G47" i="27"/>
  <c r="F47" i="27"/>
  <c r="J46" i="27"/>
  <c r="I46" i="27"/>
  <c r="H46" i="27"/>
  <c r="G46" i="27"/>
  <c r="F46" i="27"/>
  <c r="J45" i="27"/>
  <c r="I45" i="27"/>
  <c r="H45" i="27"/>
  <c r="G45" i="27"/>
  <c r="F45" i="27"/>
  <c r="J44" i="27"/>
  <c r="I44" i="27"/>
  <c r="H44" i="27"/>
  <c r="G44" i="27"/>
  <c r="F44" i="27"/>
  <c r="J43" i="27"/>
  <c r="I43" i="27"/>
  <c r="H43" i="27"/>
  <c r="G43" i="27"/>
  <c r="F43" i="27"/>
  <c r="J42" i="27"/>
  <c r="I42" i="27"/>
  <c r="H42" i="27"/>
  <c r="G42" i="27"/>
  <c r="F42" i="27"/>
  <c r="J41" i="27"/>
  <c r="I41" i="27"/>
  <c r="H41" i="27"/>
  <c r="G41" i="27"/>
  <c r="F41" i="27"/>
  <c r="J40" i="27"/>
  <c r="I40" i="27"/>
  <c r="H40" i="27"/>
  <c r="G40" i="27"/>
  <c r="F40" i="27"/>
  <c r="J39" i="27"/>
  <c r="I39" i="27"/>
  <c r="H39" i="27"/>
  <c r="G39" i="27"/>
  <c r="F39" i="27"/>
  <c r="J38" i="27"/>
  <c r="I38" i="27"/>
  <c r="H38" i="27"/>
  <c r="G38" i="27"/>
  <c r="F38" i="27"/>
  <c r="J37" i="27"/>
  <c r="I37" i="27"/>
  <c r="H37" i="27"/>
  <c r="G37" i="27"/>
  <c r="F37" i="27"/>
  <c r="J36" i="27"/>
  <c r="I36" i="27"/>
  <c r="H36" i="27"/>
  <c r="G36" i="27"/>
  <c r="F36" i="27"/>
  <c r="J35" i="27"/>
  <c r="I35" i="27"/>
  <c r="H35" i="27"/>
  <c r="G35" i="27"/>
  <c r="F35" i="27"/>
  <c r="J34" i="27"/>
  <c r="I34" i="27"/>
  <c r="H34" i="27"/>
  <c r="G34" i="27"/>
  <c r="F34" i="27"/>
  <c r="J33" i="27"/>
  <c r="I33" i="27"/>
  <c r="H33" i="27"/>
  <c r="G33" i="27"/>
  <c r="F33" i="27"/>
  <c r="J32" i="27"/>
  <c r="I32" i="27"/>
  <c r="H32" i="27"/>
  <c r="G32" i="27"/>
  <c r="F32" i="27"/>
  <c r="J31" i="27"/>
  <c r="I31" i="27"/>
  <c r="H31" i="27"/>
  <c r="G31" i="27"/>
  <c r="F31" i="27"/>
  <c r="J30" i="27"/>
  <c r="I30" i="27"/>
  <c r="H30" i="27"/>
  <c r="G30" i="27"/>
  <c r="F30" i="27"/>
  <c r="J29" i="27"/>
  <c r="I29" i="27"/>
  <c r="H29" i="27"/>
  <c r="G29" i="27"/>
  <c r="F29" i="27"/>
  <c r="J28" i="27"/>
  <c r="I28" i="27"/>
  <c r="H28" i="27"/>
  <c r="G28" i="27"/>
  <c r="F28" i="27"/>
  <c r="J27" i="27"/>
  <c r="I27" i="27"/>
  <c r="H27" i="27"/>
  <c r="G27" i="27"/>
  <c r="F27" i="27"/>
  <c r="J26" i="27"/>
  <c r="I26" i="27"/>
  <c r="H26" i="27"/>
  <c r="G26" i="27"/>
  <c r="F26" i="27"/>
  <c r="J25" i="27"/>
  <c r="I25" i="27"/>
  <c r="H25" i="27"/>
  <c r="G25" i="27"/>
  <c r="F25" i="27"/>
  <c r="J24" i="27"/>
  <c r="I24" i="27"/>
  <c r="H24" i="27"/>
  <c r="G24" i="27"/>
  <c r="F24" i="27"/>
  <c r="J23" i="27"/>
  <c r="I23" i="27"/>
  <c r="H23" i="27"/>
  <c r="G23" i="27"/>
  <c r="F23" i="27"/>
  <c r="J22" i="27"/>
  <c r="I22" i="27"/>
  <c r="H22" i="27"/>
  <c r="G22" i="27"/>
  <c r="F22" i="27"/>
  <c r="J21" i="27"/>
  <c r="I21" i="27"/>
  <c r="H21" i="27"/>
  <c r="G21" i="27"/>
  <c r="F21" i="27"/>
  <c r="J20" i="27"/>
  <c r="I20" i="27"/>
  <c r="H20" i="27"/>
  <c r="G20" i="27"/>
  <c r="F20" i="27"/>
  <c r="J19" i="27"/>
  <c r="I19" i="27"/>
  <c r="H19" i="27"/>
  <c r="G19" i="27"/>
  <c r="F19" i="27"/>
  <c r="J18" i="27"/>
  <c r="I18" i="27"/>
  <c r="H18" i="27"/>
  <c r="G18" i="27"/>
  <c r="F18" i="27"/>
  <c r="J17" i="27"/>
  <c r="I17" i="27"/>
  <c r="H17" i="27"/>
  <c r="G17" i="27"/>
  <c r="F17" i="27"/>
  <c r="J16" i="27"/>
  <c r="I16" i="27"/>
  <c r="H16" i="27"/>
  <c r="G16" i="27"/>
  <c r="F16" i="27"/>
  <c r="J15" i="27"/>
  <c r="I15" i="27"/>
  <c r="H15" i="27"/>
  <c r="G15" i="27"/>
  <c r="F15" i="27"/>
  <c r="J14" i="27"/>
  <c r="I14" i="27"/>
  <c r="H14" i="27"/>
  <c r="G14" i="27"/>
  <c r="F14" i="27"/>
  <c r="J13" i="27"/>
  <c r="I13" i="27"/>
  <c r="H13" i="27"/>
  <c r="G13" i="27"/>
  <c r="F13" i="27"/>
  <c r="J12" i="27"/>
  <c r="I12" i="27"/>
  <c r="H12" i="27"/>
  <c r="G12" i="27"/>
  <c r="F12" i="27"/>
  <c r="J11" i="27"/>
  <c r="I11" i="27"/>
  <c r="H11" i="27"/>
  <c r="G11" i="27"/>
  <c r="F11" i="27"/>
  <c r="J10" i="27"/>
  <c r="I10" i="27"/>
  <c r="H10" i="27"/>
  <c r="G10" i="27"/>
  <c r="F10" i="27"/>
  <c r="J9" i="27"/>
  <c r="I9" i="27"/>
  <c r="H9" i="27"/>
  <c r="G9" i="27"/>
  <c r="F9" i="27"/>
  <c r="J8" i="27"/>
  <c r="I8" i="27"/>
  <c r="H8" i="27"/>
  <c r="G8" i="27"/>
  <c r="F8" i="27"/>
  <c r="J7" i="27"/>
  <c r="I7" i="27"/>
  <c r="H7" i="27"/>
  <c r="G7" i="27"/>
  <c r="F7" i="27"/>
  <c r="J6" i="27"/>
  <c r="I6" i="27"/>
  <c r="H6" i="27"/>
  <c r="G6" i="27"/>
  <c r="F6" i="27"/>
  <c r="J5" i="27"/>
  <c r="I5" i="27"/>
  <c r="H5" i="27"/>
  <c r="G5" i="27"/>
  <c r="F5" i="27"/>
  <c r="J4" i="27"/>
  <c r="I4" i="27"/>
  <c r="H4" i="27"/>
  <c r="G4" i="27"/>
  <c r="F4" i="27"/>
  <c r="J3" i="27"/>
  <c r="I3" i="27"/>
  <c r="H3" i="27"/>
  <c r="G3" i="27"/>
  <c r="F3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O10" i="20" l="1"/>
  <c r="O18" i="20"/>
  <c r="O26" i="20"/>
  <c r="O38" i="20"/>
  <c r="O46" i="20"/>
  <c r="O54" i="20"/>
  <c r="O62" i="20"/>
  <c r="O70" i="20"/>
  <c r="O78" i="20"/>
  <c r="O82" i="20"/>
  <c r="O90" i="20"/>
  <c r="O94" i="20"/>
  <c r="O98" i="20"/>
  <c r="O102" i="20"/>
  <c r="O106" i="20"/>
  <c r="O110" i="20"/>
  <c r="O114" i="20"/>
  <c r="O118" i="20"/>
  <c r="O122" i="20"/>
  <c r="O14" i="20"/>
  <c r="O22" i="20"/>
  <c r="O30" i="20"/>
  <c r="O34" i="20"/>
  <c r="O42" i="20"/>
  <c r="O50" i="20"/>
  <c r="O58" i="20"/>
  <c r="O66" i="20"/>
  <c r="O74" i="20"/>
  <c r="O86" i="20"/>
  <c r="O27" i="20"/>
  <c r="O39" i="20"/>
  <c r="O47" i="20"/>
  <c r="O55" i="20"/>
  <c r="O63" i="20"/>
  <c r="O67" i="20"/>
  <c r="O71" i="20"/>
  <c r="O75" i="20"/>
  <c r="O79" i="20"/>
  <c r="O83" i="20"/>
  <c r="O87" i="20"/>
  <c r="O91" i="20"/>
  <c r="O95" i="20"/>
  <c r="O99" i="20"/>
  <c r="O103" i="20"/>
  <c r="O107" i="20"/>
  <c r="O111" i="20"/>
  <c r="O115" i="20"/>
  <c r="O119" i="20"/>
  <c r="O35" i="20"/>
  <c r="O43" i="20"/>
  <c r="O51" i="20"/>
  <c r="O59" i="20"/>
  <c r="O31" i="20"/>
  <c r="P120" i="20"/>
  <c r="O15" i="20"/>
  <c r="O19" i="20"/>
  <c r="O11" i="20"/>
  <c r="O23" i="20"/>
  <c r="O65" i="20"/>
  <c r="O69" i="20"/>
  <c r="O73" i="20"/>
  <c r="O77" i="20"/>
  <c r="O81" i="20"/>
  <c r="O85" i="20"/>
  <c r="O89" i="20"/>
  <c r="O93" i="20"/>
  <c r="O97" i="20"/>
  <c r="O101" i="20"/>
  <c r="O105" i="20"/>
  <c r="O109" i="20"/>
  <c r="O113" i="20"/>
  <c r="O117" i="20"/>
  <c r="O121" i="20"/>
  <c r="O8" i="20"/>
  <c r="O12" i="20"/>
  <c r="O16" i="20"/>
  <c r="O20" i="20"/>
  <c r="O24" i="20"/>
  <c r="O28" i="20"/>
  <c r="O32" i="20"/>
  <c r="O36" i="20"/>
  <c r="O40" i="20"/>
  <c r="O44" i="20"/>
  <c r="O48" i="20"/>
  <c r="O52" i="20"/>
  <c r="O56" i="20"/>
  <c r="O60" i="20"/>
  <c r="O64" i="20"/>
  <c r="O68" i="20"/>
  <c r="O72" i="20"/>
  <c r="O76" i="20"/>
  <c r="O80" i="20"/>
  <c r="O84" i="20"/>
  <c r="O88" i="20"/>
  <c r="O92" i="20"/>
  <c r="O96" i="20"/>
  <c r="O100" i="20"/>
  <c r="O104" i="20"/>
  <c r="O108" i="20"/>
  <c r="O112" i="20"/>
  <c r="O116" i="20"/>
  <c r="O120" i="20"/>
  <c r="O9" i="20"/>
  <c r="O13" i="20"/>
  <c r="O17" i="20"/>
  <c r="O21" i="20"/>
  <c r="O25" i="20"/>
  <c r="O29" i="20"/>
  <c r="O33" i="20"/>
  <c r="O37" i="20"/>
  <c r="O41" i="20"/>
  <c r="O45" i="20"/>
  <c r="O49" i="20"/>
  <c r="O53" i="20"/>
  <c r="O57" i="20"/>
  <c r="O61" i="20"/>
  <c r="P61" i="20"/>
  <c r="P13" i="20"/>
  <c r="P77" i="20"/>
  <c r="P29" i="20"/>
  <c r="P93" i="20"/>
  <c r="P45" i="20"/>
  <c r="P109" i="20"/>
  <c r="P17" i="20"/>
  <c r="P33" i="20"/>
  <c r="P49" i="20"/>
  <c r="P65" i="20"/>
  <c r="P81" i="20"/>
  <c r="P97" i="20"/>
  <c r="P113" i="20"/>
  <c r="P21" i="20"/>
  <c r="P37" i="20"/>
  <c r="P53" i="20"/>
  <c r="P69" i="20"/>
  <c r="P85" i="20"/>
  <c r="P101" i="20"/>
  <c r="P117" i="20"/>
  <c r="P9" i="20"/>
  <c r="P25" i="20"/>
  <c r="P41" i="20"/>
  <c r="P57" i="20"/>
  <c r="P73" i="20"/>
  <c r="P89" i="20"/>
  <c r="P105" i="20"/>
  <c r="P121" i="20"/>
  <c r="P10" i="20"/>
  <c r="P14" i="20"/>
  <c r="P18" i="20"/>
  <c r="P22" i="20"/>
  <c r="P26" i="20"/>
  <c r="P30" i="20"/>
  <c r="P34" i="20"/>
  <c r="P38" i="20"/>
  <c r="P42" i="20"/>
  <c r="P46" i="20"/>
  <c r="P50" i="20"/>
  <c r="P54" i="20"/>
  <c r="P58" i="20"/>
  <c r="P62" i="20"/>
  <c r="P66" i="20"/>
  <c r="P70" i="20"/>
  <c r="P74" i="20"/>
  <c r="P78" i="20"/>
  <c r="P82" i="20"/>
  <c r="P86" i="20"/>
  <c r="P90" i="20"/>
  <c r="P94" i="20"/>
  <c r="P98" i="20"/>
  <c r="P102" i="20"/>
  <c r="P106" i="20"/>
  <c r="P110" i="20"/>
  <c r="P114" i="20"/>
  <c r="P118" i="20"/>
  <c r="P122" i="20"/>
  <c r="P11" i="20"/>
  <c r="P15" i="20"/>
  <c r="P19" i="20"/>
  <c r="P23" i="20"/>
  <c r="P27" i="20"/>
  <c r="P31" i="20"/>
  <c r="P35" i="20"/>
  <c r="P39" i="20"/>
  <c r="P43" i="20"/>
  <c r="P47" i="20"/>
  <c r="P51" i="20"/>
  <c r="P55" i="20"/>
  <c r="P59" i="20"/>
  <c r="P63" i="20"/>
  <c r="P67" i="20"/>
  <c r="P71" i="20"/>
  <c r="P75" i="20"/>
  <c r="P79" i="20"/>
  <c r="P83" i="20"/>
  <c r="P87" i="20"/>
  <c r="P91" i="20"/>
  <c r="P95" i="20"/>
  <c r="P99" i="20"/>
  <c r="P103" i="20"/>
  <c r="P107" i="20"/>
  <c r="P111" i="20"/>
  <c r="P115" i="20"/>
  <c r="P119" i="20"/>
  <c r="P8" i="20"/>
  <c r="P12" i="20"/>
  <c r="P16" i="20"/>
  <c r="P20" i="20"/>
  <c r="P24" i="20"/>
  <c r="P28" i="20"/>
  <c r="P32" i="20"/>
  <c r="P36" i="20"/>
  <c r="P40" i="20"/>
  <c r="P44" i="20"/>
  <c r="P48" i="20"/>
  <c r="P52" i="20"/>
  <c r="P56" i="20"/>
  <c r="P60" i="20"/>
  <c r="P64" i="20"/>
  <c r="P68" i="20"/>
  <c r="P72" i="20"/>
  <c r="P76" i="20"/>
  <c r="P80" i="20"/>
  <c r="P84" i="20"/>
  <c r="P88" i="20"/>
  <c r="P92" i="20"/>
  <c r="P96" i="20"/>
  <c r="P100" i="20"/>
  <c r="P104" i="20"/>
  <c r="P108" i="20"/>
  <c r="P112" i="20"/>
  <c r="P116" i="20"/>
  <c r="B7" i="20"/>
  <c r="B12" i="20"/>
  <c r="B13" i="20"/>
  <c r="C26" i="20"/>
  <c r="D26" i="20"/>
  <c r="E26" i="20"/>
  <c r="F26" i="20"/>
  <c r="G26" i="20" s="1"/>
  <c r="H26" i="20" s="1"/>
  <c r="I26" i="20"/>
  <c r="J26" i="20" s="1"/>
  <c r="K26" i="20" s="1"/>
  <c r="C25" i="20"/>
  <c r="D25" i="20"/>
  <c r="E25" i="20"/>
  <c r="F25" i="20" s="1"/>
  <c r="G25" i="20" s="1"/>
  <c r="H25" i="20" s="1"/>
  <c r="I25" i="20" s="1"/>
  <c r="J25" i="20" s="1"/>
  <c r="K25" i="20" s="1"/>
  <c r="B8" i="20"/>
  <c r="G32" i="16"/>
  <c r="D32" i="16"/>
  <c r="H32" i="16" s="1"/>
  <c r="G31" i="16"/>
  <c r="D31" i="16"/>
  <c r="H31" i="16"/>
  <c r="G30" i="16"/>
  <c r="D30" i="16"/>
  <c r="H30" i="16"/>
  <c r="G29" i="16"/>
  <c r="D29" i="16"/>
  <c r="H29" i="16"/>
  <c r="G28" i="16"/>
  <c r="D28" i="16"/>
  <c r="H28" i="16" s="1"/>
  <c r="G27" i="16"/>
  <c r="D27" i="16"/>
  <c r="H27" i="16"/>
  <c r="G26" i="16"/>
  <c r="D26" i="16"/>
  <c r="H26" i="16"/>
  <c r="G25" i="16"/>
  <c r="D25" i="16"/>
  <c r="H25" i="16"/>
  <c r="G24" i="16"/>
  <c r="D24" i="16"/>
  <c r="H24" i="16" s="1"/>
  <c r="G11" i="16"/>
  <c r="G12" i="16"/>
  <c r="G13" i="16"/>
  <c r="G14" i="16"/>
  <c r="G15" i="16"/>
  <c r="G16" i="16"/>
  <c r="G17" i="16"/>
  <c r="G18" i="16"/>
  <c r="G10" i="16"/>
  <c r="D11" i="16"/>
  <c r="H11" i="16" s="1"/>
  <c r="D12" i="16"/>
  <c r="H12" i="16"/>
  <c r="D13" i="16"/>
  <c r="H13" i="16" s="1"/>
  <c r="D14" i="16"/>
  <c r="H14" i="16"/>
  <c r="D15" i="16"/>
  <c r="H15" i="16" s="1"/>
  <c r="D16" i="16"/>
  <c r="H16" i="16"/>
  <c r="D17" i="16"/>
  <c r="H17" i="16" s="1"/>
  <c r="D18" i="16"/>
  <c r="H18" i="16"/>
  <c r="D10" i="16"/>
  <c r="H10" i="16" s="1"/>
  <c r="B9" i="6"/>
  <c r="B16" i="13"/>
  <c r="B13" i="13"/>
  <c r="B9" i="13"/>
  <c r="B7" i="13"/>
  <c r="B3" i="13"/>
  <c r="B9" i="5"/>
  <c r="B28" i="6"/>
  <c r="B25" i="6"/>
  <c r="B22" i="6"/>
  <c r="B19" i="6"/>
  <c r="B16" i="6"/>
  <c r="B13" i="6"/>
  <c r="B7" i="6"/>
  <c r="B3" i="6"/>
  <c r="B127" i="5"/>
  <c r="B124" i="5"/>
  <c r="B121" i="5"/>
  <c r="B118" i="5"/>
  <c r="B115" i="5"/>
  <c r="B112" i="5"/>
  <c r="B109" i="5"/>
  <c r="B106" i="5"/>
  <c r="B103" i="5"/>
  <c r="B100" i="5"/>
  <c r="B97" i="5"/>
  <c r="B94" i="5"/>
  <c r="B91" i="5"/>
  <c r="B88" i="5"/>
  <c r="B85" i="5"/>
  <c r="B82" i="5"/>
  <c r="B79" i="5"/>
  <c r="B76" i="5"/>
  <c r="B73" i="5"/>
  <c r="B70" i="5"/>
  <c r="B67" i="5"/>
  <c r="B64" i="5"/>
  <c r="B61" i="5"/>
  <c r="B58" i="5"/>
  <c r="B55" i="5"/>
  <c r="B52" i="5"/>
  <c r="B49" i="5"/>
  <c r="B46" i="5"/>
  <c r="B43" i="5"/>
  <c r="B40" i="5"/>
  <c r="B37" i="5"/>
  <c r="B34" i="5"/>
  <c r="B31" i="5"/>
  <c r="B28" i="5"/>
  <c r="B25" i="5"/>
  <c r="B22" i="5"/>
  <c r="B19" i="5"/>
  <c r="B16" i="5"/>
  <c r="B13" i="5"/>
  <c r="B7" i="5"/>
  <c r="B3" i="5"/>
  <c r="J21" i="20" l="1"/>
  <c r="F21" i="20"/>
  <c r="K21" i="20"/>
  <c r="G21" i="20"/>
  <c r="C21" i="20"/>
  <c r="B21" i="20"/>
  <c r="H21" i="20"/>
  <c r="D21" i="20"/>
  <c r="I21" i="20"/>
  <c r="E21" i="20"/>
  <c r="J19" i="20"/>
  <c r="B19" i="20"/>
  <c r="I19" i="20"/>
  <c r="D19" i="20"/>
  <c r="E19" i="20"/>
  <c r="H19" i="20"/>
  <c r="G19" i="20"/>
  <c r="F19" i="20"/>
  <c r="C19" i="20"/>
  <c r="K19" i="20"/>
  <c r="B23" i="20" l="1"/>
  <c r="B22" i="20" l="1"/>
  <c r="B24" i="20" s="1"/>
  <c r="B28" i="20" s="1"/>
  <c r="B29" i="20" s="1"/>
  <c r="B31" i="20" s="1"/>
  <c r="C23" i="20"/>
  <c r="D23" i="20" l="1"/>
  <c r="C22" i="20"/>
  <c r="C24" i="20" s="1"/>
  <c r="C28" i="20" s="1"/>
  <c r="C29" i="20" s="1"/>
  <c r="C31" i="20" s="1"/>
  <c r="D22" i="20" l="1"/>
  <c r="D24" i="20" s="1"/>
  <c r="D28" i="20" s="1"/>
  <c r="D29" i="20" s="1"/>
  <c r="D31" i="20" s="1"/>
  <c r="E23" i="20"/>
  <c r="E22" i="20" l="1"/>
  <c r="E24" i="20" s="1"/>
  <c r="E28" i="20" s="1"/>
  <c r="E29" i="20" s="1"/>
  <c r="E31" i="20" s="1"/>
  <c r="F23" i="20"/>
  <c r="F22" i="20" l="1"/>
  <c r="F24" i="20" s="1"/>
  <c r="F28" i="20" s="1"/>
  <c r="F29" i="20" s="1"/>
  <c r="F31" i="20" s="1"/>
  <c r="G23" i="20"/>
  <c r="H23" i="20" l="1"/>
  <c r="G22" i="20"/>
  <c r="G24" i="20" s="1"/>
  <c r="G28" i="20" s="1"/>
  <c r="G29" i="20" s="1"/>
  <c r="G31" i="20" s="1"/>
  <c r="H22" i="20" l="1"/>
  <c r="H24" i="20" s="1"/>
  <c r="H28" i="20" s="1"/>
  <c r="H29" i="20" s="1"/>
  <c r="H31" i="20" s="1"/>
  <c r="I23" i="20"/>
  <c r="I22" i="20" l="1"/>
  <c r="I24" i="20" s="1"/>
  <c r="I28" i="20" s="1"/>
  <c r="I29" i="20" s="1"/>
  <c r="I31" i="20" s="1"/>
  <c r="J23" i="20"/>
  <c r="J22" i="20" l="1"/>
  <c r="J24" i="20" s="1"/>
  <c r="J28" i="20" s="1"/>
  <c r="J29" i="20" s="1"/>
  <c r="J31" i="20" s="1"/>
  <c r="K23" i="20"/>
  <c r="K22" i="20" l="1"/>
  <c r="K24" i="20" s="1"/>
  <c r="K28" i="20" s="1"/>
  <c r="K29" i="20" s="1"/>
  <c r="K30" i="20" l="1"/>
  <c r="K31" i="20" s="1"/>
  <c r="B33" i="20" s="1"/>
</calcChain>
</file>

<file path=xl/connections.xml><?xml version="1.0" encoding="utf-8"?>
<connections xmlns="http://schemas.openxmlformats.org/spreadsheetml/2006/main">
  <connection id="1" keepAlive="1" name="Query - Predicted USA Population_AAZ" description="Connection to the 'Predicted USA Population_AAZ' query in the workbook." type="5" refreshedVersion="6" background="1" saveData="1">
    <dbPr connection="Provider=Microsoft.Mashup.OleDb.1;Data Source=$Workbook$;Location=Predicted USA Population_AAZ;Extended Properties=&quot;&quot;" command="SELECT * FROM [Predicted USA Population_AAZ]"/>
  </connection>
  <connection id="2" keepAlive="1" name="Query - Predicted USA Population_ARIMA" description="Connection to the 'Predicted USA Population_ARIMA' query in the workbook." type="5" refreshedVersion="6" background="1" saveData="1">
    <dbPr connection="Provider=Microsoft.Mashup.OleDb.1;Data Source=$Workbook$;Location=Predicted USA Population_ARIMA;Extended Properties=&quot;&quot;" command="SELECT * FROM [Predicted USA Population_ARIMA]"/>
  </connection>
  <connection id="3" keepAlive="1" name="Query - Predicted USA Population_MMZ" description="Connection to the 'Predicted USA Population_MMZ' query in the workbook." type="5" refreshedVersion="6" background="1" saveData="1">
    <dbPr connection="Provider=Microsoft.Mashup.OleDb.1;Data Source=$Workbook$;Location=Predicted USA Population_MMZ;Extended Properties=&quot;&quot;" command="SELECT * FROM [Predicted USA Population_MMZ]"/>
  </connection>
  <connection id="4" keepAlive="1" name="Query - Predicted USA Population_TBATS" description="Connection to the 'Predicted USA Population_TBATS' query in the workbook." type="5" refreshedVersion="6" background="1" saveData="1">
    <dbPr connection="Provider=Microsoft.Mashup.OleDb.1;Data Source=$Workbook$;Location=Predicted USA Population_TBATS;Extended Properties=&quot;&quot;" command="SELECT * FROM [Predicted USA Population_TBATS]"/>
  </connection>
  <connection id="5" keepAlive="1" name="Query - Predicted USA Population_ZZZ" description="Connection to the 'Predicted USA Population_ZZZ' query in the workbook." type="5" refreshedVersion="6" background="1" saveData="1">
    <dbPr connection="Provider=Microsoft.Mashup.OleDb.1;Data Source=$Workbook$;Location=Predicted USA Population_ZZZ;Extended Properties=&quot;&quot;" command="SELECT * FROM [Predicted USA Population_ZZZ]"/>
  </connection>
  <connection id="6" keepAlive="1" name="Query - Predicted World Population_AAZ" description="Connection to the 'Predicted World Population_AAZ' query in the workbook." type="5" refreshedVersion="6" background="1" saveData="1">
    <dbPr connection="Provider=Microsoft.Mashup.OleDb.1;Data Source=$Workbook$;Location=Predicted World Population_AAZ;Extended Properties=&quot;&quot;" command="SELECT * FROM [Predicted World Population_AAZ]"/>
  </connection>
  <connection id="7" keepAlive="1" name="Query - Predicted World Population_ARIMA" description="Connection to the 'Predicted World Population_ARIMA' query in the workbook." type="5" refreshedVersion="6" background="1" saveData="1">
    <dbPr connection="Provider=Microsoft.Mashup.OleDb.1;Data Source=$Workbook$;Location=Predicted World Population_ARIMA;Extended Properties=&quot;&quot;" command="SELECT * FROM [Predicted World Population_ARIMA]"/>
  </connection>
  <connection id="8" keepAlive="1" name="Query - Predicted World Population_MMZ" description="Connection to the 'Predicted World Population_MMZ' query in the workbook." type="5" refreshedVersion="6" background="1" saveData="1">
    <dbPr connection="Provider=Microsoft.Mashup.OleDb.1;Data Source=$Workbook$;Location=Predicted World Population_MMZ;Extended Properties=&quot;&quot;" command="SELECT * FROM [Predicted World Population_MMZ]"/>
  </connection>
  <connection id="9" keepAlive="1" name="Query - Predicted World Population_TBATS" description="Connection to the 'Predicted World Population_TBATS' query in the workbook." type="5" refreshedVersion="6" background="1" saveData="1">
    <dbPr connection="Provider=Microsoft.Mashup.OleDb.1;Data Source=$Workbook$;Location=Predicted World Population_TBATS;Extended Properties=&quot;&quot;" command="SELECT * FROM [Predicted World Population_TBATS]"/>
  </connection>
  <connection id="10" keepAlive="1" name="Query - Predicted World Population_ZZZ" description="Connection to the 'Predicted World Population_ZZZ' query in the workbook." type="5" refreshedVersion="6" background="1" saveData="1">
    <dbPr connection="Provider=Microsoft.Mashup.OleDb.1;Data Source=$Workbook$;Location=Predicted World Population_ZZZ;Extended Properties=&quot;&quot;" command="SELECT * FROM [Predicted World Population_ZZZ]"/>
  </connection>
</connections>
</file>

<file path=xl/sharedStrings.xml><?xml version="1.0" encoding="utf-8"?>
<sst xmlns="http://schemas.openxmlformats.org/spreadsheetml/2006/main" count="1683" uniqueCount="1543">
  <si>
    <t>This spreadsheet supports STUDENT analysis of the case “Yahoo’s Acquisition of Tumblr” (UVA-QA-0818).</t>
  </si>
  <si>
    <r>
      <rPr>
        <sz val="10"/>
        <color indexed="8"/>
        <rFont val="Times New Roman"/>
        <family val="1"/>
      </rPr>
      <t xml:space="preserve">This spreadsheet was prepared by Andrew Kritzer (MBA ’14) and Associate Professor Kenneth C. Lichtendahl Jr. Copyright © 2014 by the University of Virginia Darden School Foundation, Charlottesville, VA. All rights reserved.  </t>
    </r>
    <r>
      <rPr>
        <i/>
        <sz val="10"/>
        <color indexed="8"/>
        <rFont val="Times New Roman"/>
        <family val="1"/>
      </rPr>
      <t>For customer service inquiries, send an e-mail to</t>
    </r>
    <r>
      <rPr>
        <sz val="10"/>
        <color indexed="8"/>
        <rFont val="Times New Roman"/>
        <family val="1"/>
      </rPr>
      <t>sales@dardenbusinesspublishing.com</t>
    </r>
    <r>
      <rPr>
        <i/>
        <sz val="10"/>
        <color indexed="8"/>
        <rFont val="Times New Roman"/>
        <family val="1"/>
      </rPr>
      <t xml:space="preserve">. No part of this publication may be reproduced, stored in a retrieval system, posted to the Internet, or transmitted in any form or by any means—electronic, mechanical, photocopying, recording, or otherwise—without the permission of the Darden School Foundation.  </t>
    </r>
  </si>
  <si>
    <t>Sept. 17, 2014</t>
  </si>
  <si>
    <t>Exhibit 1</t>
  </si>
  <si>
    <t>YAHOO’S ACQUISITION OF TUMBLR</t>
  </si>
  <si>
    <r>
      <t>Tumbl</t>
    </r>
    <r>
      <rPr>
        <sz val="12"/>
        <rFont val="Times New Roman"/>
        <family val="1"/>
      </rPr>
      <t xml:space="preserve">r’s </t>
    </r>
    <r>
      <rPr>
        <sz val="12"/>
        <color theme="1"/>
        <rFont val="Times New Roman"/>
        <family val="1"/>
      </rPr>
      <t>Worldwide Monthly Direct Audience Measurements</t>
    </r>
  </si>
  <si>
    <t>Date</t>
  </si>
  <si>
    <t>Uniques</t>
  </si>
  <si>
    <t>People</t>
  </si>
  <si>
    <t>Visits</t>
  </si>
  <si>
    <t>Page Views</t>
  </si>
  <si>
    <t>Mobile Web</t>
  </si>
  <si>
    <r>
      <t xml:space="preserve">Notes: </t>
    </r>
    <r>
      <rPr>
        <i/>
        <sz val="11"/>
        <color theme="1"/>
        <rFont val="Times New Roman"/>
        <family val="1"/>
      </rPr>
      <t>Uniques</t>
    </r>
    <r>
      <rPr>
        <sz val="11"/>
        <color theme="1"/>
        <rFont val="Times New Roman"/>
        <family val="1"/>
      </rPr>
      <t xml:space="preserve"> is the number of mobile app users and online cookies for a property. </t>
    </r>
  </si>
  <si>
    <r>
      <rPr>
        <i/>
        <sz val="11"/>
        <color theme="1"/>
        <rFont val="Times New Roman"/>
        <family val="1"/>
      </rPr>
      <t>People</t>
    </r>
    <r>
      <rPr>
        <sz val="11"/>
        <color theme="1"/>
        <rFont val="Times New Roman"/>
        <family val="1"/>
      </rPr>
      <t xml:space="preserve"> is the estimated number of people worldwide accessing a property. </t>
    </r>
  </si>
  <si>
    <r>
      <rPr>
        <i/>
        <sz val="11"/>
        <color theme="1"/>
        <rFont val="Times New Roman"/>
        <family val="1"/>
      </rPr>
      <t>Visits</t>
    </r>
    <r>
      <rPr>
        <sz val="11"/>
        <color theme="1"/>
        <rFont val="Times New Roman"/>
        <family val="1"/>
      </rPr>
      <t xml:space="preserve"> is the number of individual sessions initiated by all the visitors to this property. </t>
    </r>
  </si>
  <si>
    <r>
      <rPr>
        <i/>
        <sz val="11"/>
        <color theme="1"/>
        <rFont val="Times New Roman"/>
        <family val="1"/>
      </rPr>
      <t>Page views</t>
    </r>
    <r>
      <rPr>
        <sz val="11"/>
        <color theme="1"/>
        <rFont val="Times New Roman"/>
        <family val="1"/>
      </rPr>
      <t xml:space="preserve"> is the number of views of all the pages on this property (a </t>
    </r>
    <r>
      <rPr>
        <i/>
        <sz val="11"/>
        <color theme="1"/>
        <rFont val="Times New Roman"/>
        <family val="1"/>
      </rPr>
      <t>page view</t>
    </r>
    <r>
      <rPr>
        <sz val="11"/>
        <color theme="1"/>
        <rFont val="Times New Roman"/>
        <family val="1"/>
      </rPr>
      <t xml:space="preserve"> is an instance of a page being loaded by browser). </t>
    </r>
  </si>
  <si>
    <t>Data source: Quantcast, “Tumblr Blog Network,” https://www.quantcast.com/tumblr.com (accessed Jul. 3, 2014). </t>
  </si>
  <si>
    <t>Exhibit 2</t>
  </si>
  <si>
    <t xml:space="preserve">Facebook’s U.S. Monthly Direct Audience Measurements </t>
  </si>
  <si>
    <t xml:space="preserve">Data source: Quantcast, “facebook.com,” https://www.quantcast.com/facebook.com (accessed Jul. 3, 2014). </t>
  </si>
  <si>
    <t>Exhibit 3</t>
  </si>
  <si>
    <r>
      <t>Tumb</t>
    </r>
    <r>
      <rPr>
        <sz val="12"/>
        <rFont val="Times New Roman"/>
        <family val="1"/>
      </rPr>
      <t xml:space="preserve">lr’s U.S. </t>
    </r>
    <r>
      <rPr>
        <sz val="12"/>
        <color theme="1"/>
        <rFont val="Times New Roman"/>
        <family val="1"/>
      </rPr>
      <t>Monthly Direct Audience Measurements</t>
    </r>
  </si>
  <si>
    <t>Source: https://www.quantcast.com/tumblr.com.</t>
  </si>
  <si>
    <t>Exhibit 4</t>
  </si>
  <si>
    <r>
      <t>Facebook’s Active User and Revenue Data</t>
    </r>
    <r>
      <rPr>
        <sz val="8"/>
        <color theme="1"/>
        <rFont val="Times New Roman"/>
        <family val="1"/>
      </rPr>
      <t> </t>
    </r>
  </si>
  <si>
    <t>Worldwide</t>
  </si>
  <si>
    <t>Payments and</t>
  </si>
  <si>
    <t>Quarter</t>
  </si>
  <si>
    <t>Advertising</t>
  </si>
  <si>
    <t>Other Fees</t>
  </si>
  <si>
    <t>Total Revenue</t>
  </si>
  <si>
    <t>MAU</t>
  </si>
  <si>
    <t>DAU</t>
  </si>
  <si>
    <t>DAU/MAU</t>
  </si>
  <si>
    <t>ARPU</t>
  </si>
  <si>
    <t>2010:Q3</t>
  </si>
  <si>
    <t>2010:Q4</t>
  </si>
  <si>
    <t>2011:Q1</t>
  </si>
  <si>
    <t>2011:Q2</t>
  </si>
  <si>
    <t>2011:Q3</t>
  </si>
  <si>
    <t>2011:Q4</t>
  </si>
  <si>
    <t>2012:Q1</t>
  </si>
  <si>
    <t>2012:Q2</t>
  </si>
  <si>
    <t>2012:Q3</t>
  </si>
  <si>
    <t>2012:Q4</t>
  </si>
  <si>
    <t>U.S. and Canada</t>
  </si>
  <si>
    <t>Note: All numbers in millions except DAU/MAU and ARPU.</t>
  </si>
  <si>
    <t>Data source: Facebook annual report, 2012, 44–47, http://investor.fb.com/annuals.cfm (accessed Sep. 4, 2014).</t>
  </si>
  <si>
    <t>Exhibit 5</t>
  </si>
  <si>
    <t>Preliminary Tumblr Valuation Model</t>
  </si>
  <si>
    <t>Assumptions</t>
  </si>
  <si>
    <t>Notes</t>
  </si>
  <si>
    <t>Forecasts</t>
  </si>
  <si>
    <t>Growth in People Worldwide</t>
  </si>
  <si>
    <t>Monthly growth rate in people worldwide accessing Tumblr’s site</t>
  </si>
  <si>
    <t>Month</t>
  </si>
  <si>
    <t>People Worldwide</t>
  </si>
  <si>
    <t>Decline in People, U.S.</t>
  </si>
  <si>
    <t>Straightline decline until Facebook’s 18% is reached in year 10</t>
  </si>
  <si>
    <t>People-to-User Equivalency</t>
  </si>
  <si>
    <t>People required to generate the revenue of a traditional social network user</t>
  </si>
  <si>
    <t>Increase in Rev/UE, U.S.</t>
  </si>
  <si>
    <t>Straightline increase in revenue; UE: user equivalent</t>
  </si>
  <si>
    <t>Increase in Rev/UE, ROW</t>
  </si>
  <si>
    <t>Straightline increase in revenue; ROW: rest of world</t>
  </si>
  <si>
    <t>Cash Margin Percent</t>
  </si>
  <si>
    <t xml:space="preserve">From Facebook’s 2012 annual report </t>
  </si>
  <si>
    <t>Engagement Multiplier</t>
  </si>
  <si>
    <r>
      <t>Facebook users spend 6.75 hours to Tumblr’s 1.5 hours per month</t>
    </r>
    <r>
      <rPr>
        <vertAlign val="superscript"/>
        <sz val="11"/>
        <color theme="1"/>
        <rFont val="Times New Roman"/>
        <family val="1"/>
      </rPr>
      <t>1</t>
    </r>
  </si>
  <si>
    <t>Discount Rate</t>
  </si>
  <si>
    <t>Weighted-average cost of capital</t>
  </si>
  <si>
    <t>Perpetuity Growth Rate</t>
  </si>
  <si>
    <t>Growth rate in cash flows expected after year 10</t>
  </si>
  <si>
    <t>Valuation Model</t>
  </si>
  <si>
    <t>People Worldwide (in millions)</t>
  </si>
  <si>
    <t>Percentage of U.S. People</t>
  </si>
  <si>
    <t>People, U.S.</t>
  </si>
  <si>
    <t>People, ROW</t>
  </si>
  <si>
    <t>User Equivalents, U.S.</t>
  </si>
  <si>
    <t>User Equivalents, ROW</t>
  </si>
  <si>
    <t>FB Revenue/User, U.S. (2012)</t>
  </si>
  <si>
    <t>FB Revenue/User, ROW (2012)</t>
  </si>
  <si>
    <t>Revenues (in millions)</t>
  </si>
  <si>
    <t>Operating Cash Flows</t>
  </si>
  <si>
    <t>Terminal Value</t>
  </si>
  <si>
    <t>Total Cash Flows</t>
  </si>
  <si>
    <t>Firm Value (in millions)</t>
  </si>
  <si>
    <t>Note: Revenues in 2013 are for seven months (June through December).</t>
  </si>
  <si>
    <r>
      <rPr>
        <vertAlign val="superscript"/>
        <sz val="11"/>
        <color theme="1"/>
        <rFont val="Times New Roman"/>
        <family val="1"/>
      </rPr>
      <t xml:space="preserve">1 </t>
    </r>
    <r>
      <rPr>
        <sz val="11"/>
        <color theme="1"/>
        <rFont val="Times New Roman"/>
        <family val="1"/>
      </rPr>
      <t>Lauren Indvik, “Users Stay Longer on Tumblr than Facebook, Says David Karp,” Mashable, April 17, 2013,</t>
    </r>
  </si>
  <si>
    <t>http://mashable.com/2013/04/17/users-stay-longer-on-tumblr-than-facebook (accessed Aug. 25, 2014).</t>
  </si>
  <si>
    <t>Source: Created by case writers.</t>
  </si>
  <si>
    <t>Name</t>
  </si>
  <si>
    <t>Data Set #1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</si>
  <si>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</si>
  <si>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</si>
  <si>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</si>
  <si>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</si>
  <si>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</si>
  <si>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</si>
  <si>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</si>
  <si>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</si>
  <si>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</si>
  <si>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GUID</t>
  </si>
  <si>
    <t>DG203AA16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</si>
  <si>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</si>
  <si>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</si>
  <si>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</si>
  <si>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</si>
  <si>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</si>
  <si>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</si>
  <si>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</si>
  <si>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</si>
  <si>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</si>
  <si>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</si>
  <si>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VG282795792EB6F529</t>
  </si>
  <si>
    <t>var1</t>
  </si>
  <si>
    <t>ST_DataSet1</t>
  </si>
  <si>
    <t>1 : Ranges</t>
  </si>
  <si>
    <t>1 : MultiRefs</t>
  </si>
  <si>
    <t>2 : Info</t>
  </si>
  <si>
    <t>VG2FCBE4ED173E5402</t>
  </si>
  <si>
    <t>var2</t>
  </si>
  <si>
    <t>ST_512013</t>
  </si>
  <si>
    <t>2 : Ranges</t>
  </si>
  <si>
    <t>2 : MultiRefs</t>
  </si>
  <si>
    <t>3 : Info</t>
  </si>
  <si>
    <t>VG25E40AFE358813B</t>
  </si>
  <si>
    <t>var3</t>
  </si>
  <si>
    <t>ST_412013</t>
  </si>
  <si>
    <t>3 : Ranges</t>
  </si>
  <si>
    <t>3 : MultiRefs</t>
  </si>
  <si>
    <t>4 : Info</t>
  </si>
  <si>
    <t>VG2D433B511A6F8D85</t>
  </si>
  <si>
    <t>var4</t>
  </si>
  <si>
    <t>ST_312013</t>
  </si>
  <si>
    <t>4 : Ranges</t>
  </si>
  <si>
    <t>4 : MultiRefs</t>
  </si>
  <si>
    <t>5 : Info</t>
  </si>
  <si>
    <t>VG38715AEB3904AC98</t>
  </si>
  <si>
    <t>var5</t>
  </si>
  <si>
    <t>ST_212013</t>
  </si>
  <si>
    <t>5 : Ranges</t>
  </si>
  <si>
    <t>5 : MultiRefs</t>
  </si>
  <si>
    <t>6 : Info</t>
  </si>
  <si>
    <t>VG2FFF6A5112B5EFC6</t>
  </si>
  <si>
    <t>var6</t>
  </si>
  <si>
    <t>ST_112013</t>
  </si>
  <si>
    <t>6 : Ranges</t>
  </si>
  <si>
    <t>6 : MultiRefs</t>
  </si>
  <si>
    <t>7 : Info</t>
  </si>
  <si>
    <t>VG21794EE628D70AED</t>
  </si>
  <si>
    <t>var7</t>
  </si>
  <si>
    <t>ST_1212012</t>
  </si>
  <si>
    <t>7 : Ranges</t>
  </si>
  <si>
    <t>7 : MultiRefs</t>
  </si>
  <si>
    <t>8 : Info</t>
  </si>
  <si>
    <t>VG90F97003735892D</t>
  </si>
  <si>
    <t>var8</t>
  </si>
  <si>
    <t>ST_1112012</t>
  </si>
  <si>
    <t>8 : Ranges</t>
  </si>
  <si>
    <t>8 : MultiRefs</t>
  </si>
  <si>
    <t>9 : Info</t>
  </si>
  <si>
    <t>VG10078D8294BF11E</t>
  </si>
  <si>
    <t>var9</t>
  </si>
  <si>
    <t>ST_1012012</t>
  </si>
  <si>
    <t>9 : Ranges</t>
  </si>
  <si>
    <t>9 : MultiRefs</t>
  </si>
  <si>
    <t>10 : Info</t>
  </si>
  <si>
    <t>VGF7278D81BAED8E8</t>
  </si>
  <si>
    <t>var10</t>
  </si>
  <si>
    <t>ST_912012</t>
  </si>
  <si>
    <t>10 : Ranges</t>
  </si>
  <si>
    <t>10 : MultiRefs</t>
  </si>
  <si>
    <t>11 : Info</t>
  </si>
  <si>
    <t>VG45FC8592D47D104</t>
  </si>
  <si>
    <t>var11</t>
  </si>
  <si>
    <t>ST_812012</t>
  </si>
  <si>
    <t>11 : Ranges</t>
  </si>
  <si>
    <t>11 : MultiRefs</t>
  </si>
  <si>
    <t>12 : Info</t>
  </si>
  <si>
    <t>VG23B2EA6746D96F3</t>
  </si>
  <si>
    <t>var12</t>
  </si>
  <si>
    <t>ST_712012</t>
  </si>
  <si>
    <t>12 : Ranges</t>
  </si>
  <si>
    <t>12 : MultiRefs</t>
  </si>
  <si>
    <t>13 : Info</t>
  </si>
  <si>
    <t>VG2424D2941340CDC1</t>
  </si>
  <si>
    <t>var13</t>
  </si>
  <si>
    <t>ST_612012</t>
  </si>
  <si>
    <t>13 : Ranges</t>
  </si>
  <si>
    <t>13 : MultiRefs</t>
  </si>
  <si>
    <t>14 : Info</t>
  </si>
  <si>
    <t>VG280BE87030AD14A1</t>
  </si>
  <si>
    <t>var14</t>
  </si>
  <si>
    <t>ST_512012</t>
  </si>
  <si>
    <t>14 : Ranges</t>
  </si>
  <si>
    <t>14 : MultiRefs</t>
  </si>
  <si>
    <t>15 : Info</t>
  </si>
  <si>
    <t>VG2C7396AF34F027B</t>
  </si>
  <si>
    <t>var15</t>
  </si>
  <si>
    <t>ST_412012</t>
  </si>
  <si>
    <t>15 : Ranges</t>
  </si>
  <si>
    <t>15 : MultiRefs</t>
  </si>
  <si>
    <t>16 : Info</t>
  </si>
  <si>
    <t>VG103DAF9833E34FA4</t>
  </si>
  <si>
    <t>var16</t>
  </si>
  <si>
    <t>ST_312012</t>
  </si>
  <si>
    <t>16 : Ranges</t>
  </si>
  <si>
    <t>16 : MultiRefs</t>
  </si>
  <si>
    <t>17 : Info</t>
  </si>
  <si>
    <t>VGFE9BEB929531DAF</t>
  </si>
  <si>
    <t>var17</t>
  </si>
  <si>
    <t>ST_212012</t>
  </si>
  <si>
    <t>17 : Ranges</t>
  </si>
  <si>
    <t>17 : MultiRefs</t>
  </si>
  <si>
    <t>18 : Info</t>
  </si>
  <si>
    <t>VG498C8C3AC90792</t>
  </si>
  <si>
    <t>var18</t>
  </si>
  <si>
    <t>ST_112012</t>
  </si>
  <si>
    <t>18 : Ranges</t>
  </si>
  <si>
    <t>18 : MultiRefs</t>
  </si>
  <si>
    <t>19 : Info</t>
  </si>
  <si>
    <t>VGDCDC9086CE1AF3</t>
  </si>
  <si>
    <t>var19</t>
  </si>
  <si>
    <t>ST_1212011</t>
  </si>
  <si>
    <t>19 : Ranges</t>
  </si>
  <si>
    <t>19 : MultiRefs</t>
  </si>
  <si>
    <t>20 : Info</t>
  </si>
  <si>
    <t>VG2DECAACB3CA1F3</t>
  </si>
  <si>
    <t>var20</t>
  </si>
  <si>
    <t>ST_1112011</t>
  </si>
  <si>
    <t>20 : Ranges</t>
  </si>
  <si>
    <t>20 : MultiRefs</t>
  </si>
  <si>
    <t>21 : Info</t>
  </si>
  <si>
    <t>VG3454862A27AB933F</t>
  </si>
  <si>
    <t>var21</t>
  </si>
  <si>
    <t>ST_1012011</t>
  </si>
  <si>
    <t>21 : Ranges</t>
  </si>
  <si>
    <t>21 : MultiRefs</t>
  </si>
  <si>
    <t>22 : Info</t>
  </si>
  <si>
    <t>VGA491F2C2B7CDAC2</t>
  </si>
  <si>
    <t>var22</t>
  </si>
  <si>
    <t>ST_912011</t>
  </si>
  <si>
    <t>22 : Ranges</t>
  </si>
  <si>
    <t>22 : MultiRefs</t>
  </si>
  <si>
    <t>23 : Info</t>
  </si>
  <si>
    <t>VG2D68134A2C461FB7</t>
  </si>
  <si>
    <t>var23</t>
  </si>
  <si>
    <t>ST_812011</t>
  </si>
  <si>
    <t>23 : Ranges</t>
  </si>
  <si>
    <t>23 : MultiRefs</t>
  </si>
  <si>
    <t>24 : Info</t>
  </si>
  <si>
    <t>VG45C6C4116DE57C</t>
  </si>
  <si>
    <t>var24</t>
  </si>
  <si>
    <t>ST_712011</t>
  </si>
  <si>
    <t>24 : Ranges</t>
  </si>
  <si>
    <t>24 : MultiRefs</t>
  </si>
  <si>
    <t>25 : Info</t>
  </si>
  <si>
    <t>VG8C0AF1424C97AEF</t>
  </si>
  <si>
    <t>var25</t>
  </si>
  <si>
    <t>ST_612011</t>
  </si>
  <si>
    <t>25 : Ranges</t>
  </si>
  <si>
    <t>25 : MultiRefs</t>
  </si>
  <si>
    <t>26 : Info</t>
  </si>
  <si>
    <t>VG205A1FD41A71E0A2</t>
  </si>
  <si>
    <t>var26</t>
  </si>
  <si>
    <t>ST_512011</t>
  </si>
  <si>
    <t>26 : Ranges</t>
  </si>
  <si>
    <t>26 : MultiRefs</t>
  </si>
  <si>
    <t>27 : Info</t>
  </si>
  <si>
    <t>VG267919241EA504B9</t>
  </si>
  <si>
    <t>var27</t>
  </si>
  <si>
    <t>ST_412011</t>
  </si>
  <si>
    <t>27 : Ranges</t>
  </si>
  <si>
    <t>27 : MultiRefs</t>
  </si>
  <si>
    <t>28 : Info</t>
  </si>
  <si>
    <t>VG370B050B141625C4</t>
  </si>
  <si>
    <t>var28</t>
  </si>
  <si>
    <t>ST_312011</t>
  </si>
  <si>
    <t>28 : Ranges</t>
  </si>
  <si>
    <t>28 : MultiRefs</t>
  </si>
  <si>
    <t>29 : Info</t>
  </si>
  <si>
    <t>VG683B1E9381A8C66</t>
  </si>
  <si>
    <t>var29</t>
  </si>
  <si>
    <t>ST_212011</t>
  </si>
  <si>
    <t>29 : Ranges</t>
  </si>
  <si>
    <t>29 : MultiRefs</t>
  </si>
  <si>
    <t>30 : Info</t>
  </si>
  <si>
    <t>VG1A00CC9127B3300A</t>
  </si>
  <si>
    <t>var30</t>
  </si>
  <si>
    <t>ST_112011</t>
  </si>
  <si>
    <t>30 : Ranges</t>
  </si>
  <si>
    <t>30 : MultiRefs</t>
  </si>
  <si>
    <t>31 : Info</t>
  </si>
  <si>
    <t>VG2DE28F0EFE36F93</t>
  </si>
  <si>
    <t>var31</t>
  </si>
  <si>
    <t>ST_1212010</t>
  </si>
  <si>
    <t>31 : Ranges</t>
  </si>
  <si>
    <t>31 : MultiRefs</t>
  </si>
  <si>
    <t>32 : Info</t>
  </si>
  <si>
    <t>VG2F11F9B033B7AF38</t>
  </si>
  <si>
    <t>var32</t>
  </si>
  <si>
    <t>ST_1112010</t>
  </si>
  <si>
    <t>32 : Ranges</t>
  </si>
  <si>
    <t>32 : MultiRefs</t>
  </si>
  <si>
    <t>33 : Info</t>
  </si>
  <si>
    <t>VG257ED8642092BB71</t>
  </si>
  <si>
    <t>var33</t>
  </si>
  <si>
    <t>ST_1012010</t>
  </si>
  <si>
    <t>33 : Ranges</t>
  </si>
  <si>
    <t>33 : MultiRefs</t>
  </si>
  <si>
    <t>34 : Info</t>
  </si>
  <si>
    <t>VG255E50F92245753A</t>
  </si>
  <si>
    <t>var34</t>
  </si>
  <si>
    <t>ST_912010</t>
  </si>
  <si>
    <t>34 : Ranges</t>
  </si>
  <si>
    <t>34 : MultiRefs</t>
  </si>
  <si>
    <t>35 : Info</t>
  </si>
  <si>
    <t>VG5F8AD482401BE88</t>
  </si>
  <si>
    <t>var35</t>
  </si>
  <si>
    <t>ST_812010</t>
  </si>
  <si>
    <t>35 : Ranges</t>
  </si>
  <si>
    <t>35 : MultiRefs</t>
  </si>
  <si>
    <t>36 : Info</t>
  </si>
  <si>
    <t>VG115C82ED131A4C2B</t>
  </si>
  <si>
    <t>var36</t>
  </si>
  <si>
    <t>ST_712010</t>
  </si>
  <si>
    <t>36 : Ranges</t>
  </si>
  <si>
    <t>36 : MultiRefs</t>
  </si>
  <si>
    <t>37 : Info</t>
  </si>
  <si>
    <t>VG35876C8A1549FB06</t>
  </si>
  <si>
    <t>var37</t>
  </si>
  <si>
    <t>ST_612010</t>
  </si>
  <si>
    <t>37 : Ranges</t>
  </si>
  <si>
    <t>37 : MultiRefs</t>
  </si>
  <si>
    <t>38 : Info</t>
  </si>
  <si>
    <t>VG322DCD281D29EADB</t>
  </si>
  <si>
    <t>var38</t>
  </si>
  <si>
    <t>ST_512010</t>
  </si>
  <si>
    <t>38 : Ranges</t>
  </si>
  <si>
    <t>38 : MultiRefs</t>
  </si>
  <si>
    <t>39 : Info</t>
  </si>
  <si>
    <t>VGABABCD8179FD982</t>
  </si>
  <si>
    <t>var39</t>
  </si>
  <si>
    <t>ST_412010</t>
  </si>
  <si>
    <t>39 : Ranges</t>
  </si>
  <si>
    <t>39 : MultiRefs</t>
  </si>
  <si>
    <t>Reformat</t>
  </si>
  <si>
    <t>DG12A19417</t>
  </si>
  <si>
    <t>VG1287A564C79D1A2</t>
  </si>
  <si>
    <t>ST_Date</t>
  </si>
  <si>
    <t>VG2D855750251DBEF</t>
  </si>
  <si>
    <t>ST_Uniques</t>
  </si>
  <si>
    <t>VG14002A7CFE0BD77</t>
  </si>
  <si>
    <t>ST_People</t>
  </si>
  <si>
    <t>VG1AC5D4FF277C87D9</t>
  </si>
  <si>
    <t>ST_Visits</t>
  </si>
  <si>
    <t>VG283D345233AF79B1</t>
  </si>
  <si>
    <t>ST_PageViews</t>
  </si>
  <si>
    <t>VG24F819A39B4EEB5</t>
  </si>
  <si>
    <t>ST_MobileWeb</t>
  </si>
  <si>
    <t>Data Set #2</t>
  </si>
  <si>
    <t>DG32C09806</t>
  </si>
  <si>
    <t>VG1F23C3891783EBFA</t>
  </si>
  <si>
    <t>ST_Category</t>
  </si>
  <si>
    <t>VG12884F9717EAB24E</t>
  </si>
  <si>
    <t>ST_Value</t>
  </si>
  <si>
    <t>World population (Million)</t>
  </si>
  <si>
    <t>USA population (Million)</t>
  </si>
  <si>
    <t>Year</t>
  </si>
  <si>
    <t>AAZ</t>
  </si>
  <si>
    <t>MMZ</t>
  </si>
  <si>
    <t>ZZZ</t>
  </si>
  <si>
    <t>TBATS</t>
  </si>
  <si>
    <t>ARIMA</t>
  </si>
  <si>
    <t>Choose model &gt;&gt;&gt;</t>
  </si>
  <si>
    <t>People worldwide</t>
  </si>
  <si>
    <t>People USA</t>
  </si>
  <si>
    <t>Previous model</t>
  </si>
  <si>
    <t>Column1</t>
  </si>
  <si>
    <t>138173166.654768</t>
  </si>
  <si>
    <t>139834118.955887</t>
  </si>
  <si>
    <t>141461851.948958</t>
  </si>
  <si>
    <t>143057030.025383</t>
  </si>
  <si>
    <t>144620304.28863</t>
  </si>
  <si>
    <t>146152312.819995</t>
  </si>
  <si>
    <t>147653680.93905</t>
  </si>
  <si>
    <t>149125021.458874</t>
  </si>
  <si>
    <t>150566934.936188</t>
  </si>
  <si>
    <t>151980009.916485</t>
  </si>
  <si>
    <t>153364823.174255</t>
  </si>
  <si>
    <t>154721939.948407</t>
  </si>
  <si>
    <t>156051914.172982</t>
  </si>
  <si>
    <t>157355288.703254</t>
  </si>
  <si>
    <t>158632595.537305</t>
  </si>
  <si>
    <t>159884356.033172</t>
  </si>
  <si>
    <t>161111081.121649</t>
  </si>
  <si>
    <t>162313271.514833</t>
  </si>
  <si>
    <t>163491417.9105</t>
  </si>
  <si>
    <t>164646001.192394</t>
  </si>
  <si>
    <t>165777492.626508</t>
  </si>
  <si>
    <t>166886354.053439</t>
  </si>
  <si>
    <t>167973038.076903</t>
  </si>
  <si>
    <t>169037988.248465</t>
  </si>
  <si>
    <t>170081639.248595</t>
  </si>
  <si>
    <t>171104417.064079</t>
  </si>
  <si>
    <t>172106739.161904</t>
  </si>
  <si>
    <t>173089014.65965</t>
  </si>
  <si>
    <t>174051644.492481</t>
  </si>
  <si>
    <t>174995021.576795</t>
  </si>
  <si>
    <t>175919530.970599</t>
  </si>
  <si>
    <t>176825550.030679</t>
  </si>
  <si>
    <t>177713448.566628</t>
  </si>
  <si>
    <t>178583588.991787</t>
  </si>
  <si>
    <t>179436326.471172</t>
  </si>
  <si>
    <t>180272009.066446</t>
  </si>
  <si>
    <t>181090977.877979</t>
  </si>
  <si>
    <t>181893567.184085</t>
  </si>
  <si>
    <t>182680104.577455</t>
  </si>
  <si>
    <t>183450911.098876</t>
  </si>
  <si>
    <t>184206301.36827</t>
  </si>
  <si>
    <t>184946583.713108</t>
  </si>
  <si>
    <t>185672060.294265</t>
  </si>
  <si>
    <t>186383027.229351</t>
  </si>
  <si>
    <t>187079774.713576</t>
  </si>
  <si>
    <t>187762587.1382</t>
  </si>
  <si>
    <t>188431743.206614</t>
  </si>
  <si>
    <t>189087516.048096</t>
  </si>
  <si>
    <t>189730173.329296</t>
  </si>
  <si>
    <t>190359977.363489</t>
  </si>
  <si>
    <t>190977185.217642</t>
  </si>
  <si>
    <t>191582048.817344</t>
  </si>
  <si>
    <t>192174815.049632</t>
  </si>
  <si>
    <t>192755725.863761</t>
  </si>
  <si>
    <t>193325018.369965</t>
  </si>
  <si>
    <t>193882924.936235</t>
  </si>
  <si>
    <t>194429673.283167</t>
  </si>
  <si>
    <t>194965486.576908</t>
  </si>
  <si>
    <t>195490583.520246</t>
  </si>
  <si>
    <t>196005178.441879</t>
  </si>
  <si>
    <t>196509481.3839</t>
  </si>
  <si>
    <t>197003698.187523</t>
  </si>
  <si>
    <t>197488030.577108</t>
  </si>
  <si>
    <t>197962676.242495</t>
  </si>
  <si>
    <t>198427828.919696</t>
  </si>
  <si>
    <t>198883678.469972</t>
  </si>
  <si>
    <t>199330410.95733</t>
  </si>
  <si>
    <t>199768208.724465</t>
  </si>
  <si>
    <t>200197250.467193</t>
  </si>
  <si>
    <t>200617711.307382</t>
  </si>
  <si>
    <t>201029762.864437</t>
  </si>
  <si>
    <t>201433573.325347</t>
  </si>
  <si>
    <t>201829307.513336</t>
  </si>
  <si>
    <t>202217126.955135</t>
  </si>
  <si>
    <t>202597189.946917</t>
  </si>
  <si>
    <t>202969651.618907</t>
  </si>
  <si>
    <t>203334663.998698</t>
  </si>
  <si>
    <t>203692376.073311</t>
  </si>
  <si>
    <t>204042933.85</t>
  </si>
  <si>
    <t>204386480.415853</t>
  </si>
  <si>
    <t>204723155.996192</t>
  </si>
  <si>
    <t>205053098.011812</t>
  </si>
  <si>
    <t>205376441.135068</t>
  </si>
  <si>
    <t>205693317.344851</t>
  </si>
  <si>
    <t>206003855.980448</t>
  </si>
  <si>
    <t>206308183.794345</t>
  </si>
  <si>
    <t>206606425.003953</t>
  </si>
  <si>
    <t>206898701.342321</t>
  </si>
  <si>
    <t>207185132.107812</t>
  </si>
  <si>
    <t>207465834.212807</t>
  </si>
  <si>
    <t>207740922.23142</t>
  </si>
  <si>
    <t>208010508.446264</t>
  </si>
  <si>
    <t>208274702.894282</t>
  </si>
  <si>
    <t>208533613.411662</t>
  </si>
  <si>
    <t>208787345.677849</t>
  </si>
  <si>
    <t>209036003.258684</t>
  </si>
  <si>
    <t>209279687.648676</t>
  </si>
  <si>
    <t>209518498.312425</t>
  </si>
  <si>
    <t>209752532.725225</t>
  </si>
  <si>
    <t>209981886.412849</t>
  </si>
  <si>
    <t>210206652.990539</t>
  </si>
  <si>
    <t>210426924.201216</t>
  </si>
  <si>
    <t>210642789.952931</t>
  </si>
  <si>
    <t>210854338.355557</t>
  </si>
  <si>
    <t>211061655.756757</t>
  </si>
  <si>
    <t>211264826.777228</t>
  </si>
  <si>
    <t>211463934.345238</t>
  </si>
  <si>
    <t>211659059.730478</t>
  </si>
  <si>
    <t>211850282.57723</t>
  </si>
  <si>
    <t>212037680.936881</t>
  </si>
  <si>
    <t>212221331.299776</t>
  </si>
  <si>
    <t>212401308.62644</t>
  </si>
  <si>
    <t>212577686.378179</t>
  </si>
  <si>
    <t>212750536.547058</t>
  </si>
  <si>
    <t>212919929.685292</t>
  </si>
  <si>
    <t>139652438.756757</t>
  </si>
  <si>
    <t>142826973.513514</t>
  </si>
  <si>
    <t>146001508.27027</t>
  </si>
  <si>
    <t>149176043.027027</t>
  </si>
  <si>
    <t>152350577.783784</t>
  </si>
  <si>
    <t>155525112.540541</t>
  </si>
  <si>
    <t>158699647.297297</t>
  </si>
  <si>
    <t>161874182.054054</t>
  </si>
  <si>
    <t>165048716.810811</t>
  </si>
  <si>
    <t>168223251.567568</t>
  </si>
  <si>
    <t>171397786.324324</t>
  </si>
  <si>
    <t>174572321.081081</t>
  </si>
  <si>
    <t>177746855.837838</t>
  </si>
  <si>
    <t>180921390.594595</t>
  </si>
  <si>
    <t>184095925.351351</t>
  </si>
  <si>
    <t>187270460.108108</t>
  </si>
  <si>
    <t>190444994.864865</t>
  </si>
  <si>
    <t>193619529.621622</t>
  </si>
  <si>
    <t>196794064.378378</t>
  </si>
  <si>
    <t>199968599.135135</t>
  </si>
  <si>
    <t>203143133.891892</t>
  </si>
  <si>
    <t>206317668.648649</t>
  </si>
  <si>
    <t>209492203.405405</t>
  </si>
  <si>
    <t>212666738.162162</t>
  </si>
  <si>
    <t>215841272.918919</t>
  </si>
  <si>
    <t>219015807.675676</t>
  </si>
  <si>
    <t>222190342.432432</t>
  </si>
  <si>
    <t>225364877.189189</t>
  </si>
  <si>
    <t>228539411.945946</t>
  </si>
  <si>
    <t>231713946.702703</t>
  </si>
  <si>
    <t>234888481.45946</t>
  </si>
  <si>
    <t>238063016.216216</t>
  </si>
  <si>
    <t>241237550.972973</t>
  </si>
  <si>
    <t>244412085.72973</t>
  </si>
  <si>
    <t>247586620.486487</t>
  </si>
  <si>
    <t>250761155.243243</t>
  </si>
  <si>
    <t>253935690</t>
  </si>
  <si>
    <t>257110224.756757</t>
  </si>
  <si>
    <t>260284759.513514</t>
  </si>
  <si>
    <t>263459294.27027</t>
  </si>
  <si>
    <t>266633829.027027</t>
  </si>
  <si>
    <t>269808363.783784</t>
  </si>
  <si>
    <t>272982898.540541</t>
  </si>
  <si>
    <t>276157433.297297</t>
  </si>
  <si>
    <t>279331968.054054</t>
  </si>
  <si>
    <t>282506502.810811</t>
  </si>
  <si>
    <t>285681037.567568</t>
  </si>
  <si>
    <t>288855572.324324</t>
  </si>
  <si>
    <t>292030107.081081</t>
  </si>
  <si>
    <t>295204641.837838</t>
  </si>
  <si>
    <t>298379176.594595</t>
  </si>
  <si>
    <t>301553711.351351</t>
  </si>
  <si>
    <t>304728246.108108</t>
  </si>
  <si>
    <t>307902780.864865</t>
  </si>
  <si>
    <t>311077315.621622</t>
  </si>
  <si>
    <t>314251850.378379</t>
  </si>
  <si>
    <t>317426385.135135</t>
  </si>
  <si>
    <t>320600919.891892</t>
  </si>
  <si>
    <t>323775454.648649</t>
  </si>
  <si>
    <t>326949989.405406</t>
  </si>
  <si>
    <t>330124524.162162</t>
  </si>
  <si>
    <t>333299058.918919</t>
  </si>
  <si>
    <t>336473593.675676</t>
  </si>
  <si>
    <t>339648128.432433</t>
  </si>
  <si>
    <t>342822663.189189</t>
  </si>
  <si>
    <t>345997197.945946</t>
  </si>
  <si>
    <t>349171732.702703</t>
  </si>
  <si>
    <t>352346267.45946</t>
  </si>
  <si>
    <t>355520802.216216</t>
  </si>
  <si>
    <t>358695336.972973</t>
  </si>
  <si>
    <t>361869871.72973</t>
  </si>
  <si>
    <t>365044406.486487</t>
  </si>
  <si>
    <t>368218941.243243</t>
  </si>
  <si>
    <t>371393476</t>
  </si>
  <si>
    <t>374568010.756757</t>
  </si>
  <si>
    <t>377742545.513514</t>
  </si>
  <si>
    <t>380917080.27027</t>
  </si>
  <si>
    <t>384091615.027027</t>
  </si>
  <si>
    <t>387266149.783784</t>
  </si>
  <si>
    <t>390440684.540541</t>
  </si>
  <si>
    <t>393615219.297297</t>
  </si>
  <si>
    <t>396789754.054054</t>
  </si>
  <si>
    <t>399964288.810811</t>
  </si>
  <si>
    <t>403138823.567568</t>
  </si>
  <si>
    <t>406313358.324324</t>
  </si>
  <si>
    <t>409487893.081081</t>
  </si>
  <si>
    <t>412662427.837838</t>
  </si>
  <si>
    <t>415836962.594595</t>
  </si>
  <si>
    <t>419011497.351351</t>
  </si>
  <si>
    <t>422186032.108108</t>
  </si>
  <si>
    <t>425360566.864865</t>
  </si>
  <si>
    <t>428535101.621622</t>
  </si>
  <si>
    <t>431709636.378379</t>
  </si>
  <si>
    <t>434884171.135135</t>
  </si>
  <si>
    <t>438058705.891892</t>
  </si>
  <si>
    <t>441233240.648649</t>
  </si>
  <si>
    <t>444407775.405406</t>
  </si>
  <si>
    <t>447582310.162162</t>
  </si>
  <si>
    <t>450756844.918919</t>
  </si>
  <si>
    <t>453931379.675676</t>
  </si>
  <si>
    <t>457105914.432433</t>
  </si>
  <si>
    <t>460280449.189189</t>
  </si>
  <si>
    <t>463454983.945946</t>
  </si>
  <si>
    <t>466629518.702703</t>
  </si>
  <si>
    <t>469804053.45946</t>
  </si>
  <si>
    <t>472978588.216216</t>
  </si>
  <si>
    <t>476153122.972973</t>
  </si>
  <si>
    <t>479327657.72973</t>
  </si>
  <si>
    <t>482502192.486487</t>
  </si>
  <si>
    <t>485676727.243243</t>
  </si>
  <si>
    <t>488851262</t>
  </si>
  <si>
    <t>492025796.756757</t>
  </si>
  <si>
    <t>495200331.513514</t>
  </si>
  <si>
    <t>498374866.27027</t>
  </si>
  <si>
    <t>501549401.027027</t>
  </si>
  <si>
    <t>139467469.040288</t>
  </si>
  <si>
    <t>142521942.777899</t>
  </si>
  <si>
    <t>145507768.044788</t>
  </si>
  <si>
    <t>148423830.108386</t>
  </si>
  <si>
    <t>151269277.222674</t>
  </si>
  <si>
    <t>154043503.776544</t>
  </si>
  <si>
    <t>156746133.521269</t>
  </si>
  <si>
    <t>159377003.006668</t>
  </si>
  <si>
    <t>161936145.336447</t>
  </si>
  <si>
    <t>164423774.335489</t>
  </si>
  <si>
    <t>166840269.205688</t>
  </si>
  <si>
    <t>169186159.732057</t>
  </si>
  <si>
    <t>171462112.087531</t>
  </si>
  <si>
    <t>173668915.272873</t>
  </si>
  <si>
    <t>175807468.217462</t>
  </si>
  <si>
    <t>177878767.557326</t>
  </si>
  <si>
    <t>179883896.098617</t>
  </si>
  <si>
    <t>181824011.967595</t>
  </si>
  <si>
    <t>183700338.442115</t>
  </si>
  <si>
    <t>185514154.454476</t>
  </si>
  <si>
    <t>187266785.751185</t>
  </si>
  <si>
    <t>188959596.691644</t>
  </si>
  <si>
    <t>190593982.664966</t>
  </si>
  <si>
    <t>192171363.101864</t>
  </si>
  <si>
    <t>193693175.056871</t>
  </si>
  <si>
    <t>195160867.334983</t>
  </si>
  <si>
    <t>196575895.135965</t>
  </si>
  <si>
    <t>197939715.189168</t>
  </si>
  <si>
    <t>199253781.351573</t>
  </si>
  <si>
    <t>200519540.641897</t>
  </si>
  <si>
    <t>201738429.68396</t>
  </si>
  <si>
    <t>202911871.533065</t>
  </si>
  <si>
    <t>204041272.859793</t>
  </si>
  <si>
    <t>205128021.466447</t>
  </si>
  <si>
    <t>206173484.112265</t>
  </si>
  <si>
    <t>207179004.624474</t>
  </si>
  <si>
    <t>208145902.273291</t>
  </si>
  <si>
    <t>209075470.390013</t>
  </si>
  <si>
    <t>209968975.208383</t>
  </si>
  <si>
    <t>210827654.910536</t>
  </si>
  <si>
    <t>211652718.859821</t>
  </si>
  <si>
    <t>212445347.003924</t>
  </si>
  <si>
    <t>213206689.432667</t>
  </si>
  <si>
    <t>213937866.075921</t>
  </si>
  <si>
    <t>214639966.527995</t>
  </si>
  <si>
    <t>215314049.985828</t>
  </si>
  <si>
    <t>215961145.289179</t>
  </si>
  <si>
    <t>216582251.051893</t>
  </si>
  <si>
    <t>217178335.874112</t>
  </si>
  <si>
    <t>217750338.626096</t>
  </si>
  <si>
    <t>218299168.795028</t>
  </si>
  <si>
    <t>218825706.886892</t>
  </si>
  <si>
    <t>219330804.876147</t>
  </si>
  <si>
    <t>219815286.696534</t>
  </si>
  <si>
    <t>220279948.76694</t>
  </si>
  <si>
    <t>220725560.546758</t>
  </si>
  <si>
    <t>221152865.115688</t>
  </si>
  <si>
    <t>221562579.773405</t>
  </si>
  <si>
    <t>221955396.654929</t>
  </si>
  <si>
    <t>222331983.357948</t>
  </si>
  <si>
    <t>222692983.578714</t>
  </si>
  <si>
    <t>223039017.753473</t>
  </si>
  <si>
    <t>223370683.702706</t>
  </si>
  <si>
    <t>223688557.27576</t>
  </si>
  <si>
    <t>223993192.993704</t>
  </si>
  <si>
    <t>224285124.688499</t>
  </si>
  <si>
    <t>224564866.136798</t>
  </si>
  <si>
    <t>224832911.686894</t>
  </si>
  <si>
    <t>225089736.877532</t>
  </si>
  <si>
    <t>225335799.047464</t>
  </si>
  <si>
    <t>225571537.934792</t>
  </si>
  <si>
    <t>225797376.265277</t>
  </si>
  <si>
    <t>226013720.328942</t>
  </si>
  <si>
    <t>226220960.544378</t>
  </si>
  <si>
    <t>226419472.010315</t>
  </si>
  <si>
    <t>226609615.044074</t>
  </si>
  <si>
    <t>226791735.70663</t>
  </si>
  <si>
    <t>226966166.314078</t>
  </si>
  <si>
    <t>227133225.935364</t>
  </si>
  <si>
    <t>227293220.876229</t>
  </si>
  <si>
    <t>227446445.149318</t>
  </si>
  <si>
    <t>227593180.930511</t>
  </si>
  <si>
    <t>227733699.001542</t>
  </si>
  <si>
    <t>227868259.179013</t>
  </si>
  <si>
    <t>227997110.729956</t>
  </si>
  <si>
    <t>228120492.774115</t>
  </si>
  <si>
    <t>228238634.673141</t>
  </si>
  <si>
    <t>228351756.406927</t>
  </si>
  <si>
    <t>228460068.937319</t>
  </si>
  <si>
    <t>228563774.559453</t>
  </si>
  <si>
    <t>228663067.240986</t>
  </si>
  <si>
    <t>228758132.949494</t>
  </si>
  <si>
    <t>228849149.968324</t>
  </si>
  <si>
    <t>228936289.201184</t>
  </si>
  <si>
    <t>229019714.465775</t>
  </si>
  <si>
    <t>229099582.776741</t>
  </si>
  <si>
    <t>229176044.618263</t>
  </si>
  <si>
    <t>229249244.20657</t>
  </si>
  <si>
    <t>229319319.742681</t>
  </si>
  <si>
    <t>229386403.655663</t>
  </si>
  <si>
    <t>229450622.836707</t>
  </si>
  <si>
    <t>229512098.864306</t>
  </si>
  <si>
    <t>229570948.220818</t>
  </si>
  <si>
    <t>229627282.500714</t>
  </si>
  <si>
    <t>229681208.610755</t>
  </si>
  <si>
    <t>229732828.962407</t>
  </si>
  <si>
    <t>229782241.656733</t>
  </si>
  <si>
    <t>229829540.662028</t>
  </si>
  <si>
    <t>229874815.984465</t>
  </si>
  <si>
    <t>229918153.831979</t>
  </si>
  <si>
    <t>229959636.771649</t>
  </si>
  <si>
    <t>229999343.880798</t>
  </si>
  <si>
    <t>230037350.892058</t>
  </si>
  <si>
    <t>230073730.332601</t>
  </si>
  <si>
    <t>230108551.657769</t>
  </si>
  <si>
    <t>136712674.094345</t>
  </si>
  <si>
    <t>136942428.537133</t>
  </si>
  <si>
    <t>137167587.830246</t>
  </si>
  <si>
    <t>137388243.877893</t>
  </si>
  <si>
    <t>137604486.746176</t>
  </si>
  <si>
    <t>137816404.69985</t>
  </si>
  <si>
    <t>138024084.238353</t>
  </si>
  <si>
    <t>138227610.131109</t>
  </si>
  <si>
    <t>138427065.452133</t>
  </si>
  <si>
    <t>138622531.613938</t>
  </si>
  <si>
    <t>138814088.400763</t>
  </si>
  <si>
    <t>139001814.001144</t>
  </si>
  <si>
    <t>139185785.039822</t>
  </si>
  <si>
    <t>139366076.609027</t>
  </si>
  <si>
    <t>139542762.299122</t>
  </si>
  <si>
    <t>139715914.228643</t>
  </si>
  <si>
    <t>139885603.073738</t>
  </si>
  <si>
    <t>140051898.097011</t>
  </si>
  <si>
    <t>140214867.175797</t>
  </si>
  <si>
    <t>140374576.829867</t>
  </si>
  <si>
    <t>140531092.248578</t>
  </si>
  <si>
    <t>140684477.317483</t>
  </si>
  <si>
    <t>140834794.644406</t>
  </si>
  <si>
    <t>140982105.584998</t>
  </si>
  <si>
    <t>141126470.267783</t>
  </si>
  <si>
    <t>141267947.618697</t>
  </si>
  <si>
    <t>141406595.385141</t>
  </si>
  <si>
    <t>141542470.159554</t>
  </si>
  <si>
    <t>141675627.40251</t>
  </si>
  <si>
    <t>141806121.465358</t>
  </si>
  <si>
    <t>141934005.612406</t>
  </si>
  <si>
    <t>142059332.042659</t>
  </si>
  <si>
    <t>142182151.911131</t>
  </si>
  <si>
    <t>142302515.349721</t>
  </si>
  <si>
    <t>142420471.487677</t>
  </si>
  <si>
    <t>142536068.471649</t>
  </si>
  <si>
    <t>142649353.485341</t>
  </si>
  <si>
    <t>142760372.768771</t>
  </si>
  <si>
    <t>142869171.637143</t>
  </si>
  <si>
    <t>142975794.499348</t>
  </si>
  <si>
    <t>143080284.876083</t>
  </si>
  <si>
    <t>143182685.417623</t>
  </si>
  <si>
    <t>143283037.921225</t>
  </si>
  <si>
    <t>143381383.34819</t>
  </si>
  <si>
    <t>143477761.840583</t>
  </si>
  <si>
    <t>143572212.737614</t>
  </si>
  <si>
    <t>143664774.591702</t>
  </si>
  <si>
    <t>143755485.184206</t>
  </si>
  <si>
    <t>143844381.540846</t>
  </si>
  <si>
    <t>143931499.946822</t>
  </si>
  <si>
    <t>144016875.961617</t>
  </si>
  <si>
    <t>144100544.433515</t>
  </si>
  <si>
    <t>144182539.513826</t>
  </si>
  <si>
    <t>144262894.670826</t>
  </si>
  <si>
    <t>144341642.703415</t>
  </si>
  <si>
    <t>144418815.754506</t>
  </si>
  <si>
    <t>144494445.324146</t>
  </si>
  <si>
    <t>144568562.282373</t>
  </si>
  <si>
    <t>144641196.881815</t>
  </si>
  <si>
    <t>144712378.770041</t>
  </si>
  <si>
    <t>144782137.001659</t>
  </si>
  <si>
    <t>144850500.050179</t>
  </si>
  <si>
    <t>144917495.819632</t>
  </si>
  <si>
    <t>144983151.65596</t>
  </si>
  <si>
    <t>145047494.358182</t>
  </si>
  <si>
    <t>145110550.189327</t>
  </si>
  <si>
    <t>145172344.887157</t>
  </si>
  <si>
    <t>145232903.674672</t>
  </si>
  <si>
    <t>145292251.270406</t>
  </si>
  <si>
    <t>145350411.898515</t>
  </si>
  <si>
    <t>145407409.298666</t>
  </si>
  <si>
    <t>145463266.735726</t>
  </si>
  <si>
    <t>145518007.009257</t>
  </si>
  <si>
    <t>145571652.462828</t>
  </si>
  <si>
    <t>145624224.993127</t>
  </si>
  <si>
    <t>145675746.058902</t>
  </si>
  <si>
    <t>145726236.689724</t>
  </si>
  <si>
    <t>145775717.494563</t>
  </si>
  <si>
    <t>145824208.670207</t>
  </si>
  <si>
    <t>145871730.009502</t>
  </si>
  <si>
    <t>145918300.909432</t>
  </si>
  <si>
    <t>145963940.379034</t>
  </si>
  <si>
    <t>146008667.047163</t>
  </si>
  <si>
    <t>146052499.17009</t>
  </si>
  <si>
    <t>146095454.638955</t>
  </si>
  <si>
    <t>146137550.987072</t>
  </si>
  <si>
    <t>146178805.397082</t>
  </si>
  <si>
    <t>146219234.707972</t>
  </si>
  <si>
    <t>146258855.421942</t>
  </si>
  <si>
    <t>146297683.711144</t>
  </si>
  <si>
    <t>146335735.424283</t>
  </si>
  <si>
    <t>146373026.093087</t>
  </si>
  <si>
    <t>146409570.938643</t>
  </si>
  <si>
    <t>146445384.877614</t>
  </si>
  <si>
    <t>146480482.528325</t>
  </si>
  <si>
    <t>146514878.216731</t>
  </si>
  <si>
    <t>146548585.982263</t>
  </si>
  <si>
    <t>146581619.583562</t>
  </si>
  <si>
    <t>146613992.504091</t>
  </si>
  <si>
    <t>146645717.957639</t>
  </si>
  <si>
    <t>146676808.893718</t>
  </si>
  <si>
    <t>146707278.002845</t>
  </si>
  <si>
    <t>146737137.721724</t>
  </si>
  <si>
    <t>146766400.238321</t>
  </si>
  <si>
    <t>146795077.49684</t>
  </si>
  <si>
    <t>146823181.202597</t>
  </si>
  <si>
    <t>146850722.826799</t>
  </si>
  <si>
    <t>146877713.611226</t>
  </si>
  <si>
    <t>146904164.57282</t>
  </si>
  <si>
    <t>146930086.508181</t>
  </si>
  <si>
    <t>146955489.997972</t>
  </si>
  <si>
    <t>146980385.411242</t>
  </si>
  <si>
    <t>147004782.909657</t>
  </si>
  <si>
    <t>147028692.451645</t>
  </si>
  <si>
    <t>147052123.796464</t>
  </si>
  <si>
    <t>45419872.3178336</t>
  </si>
  <si>
    <t>46008482.1618147</t>
  </si>
  <si>
    <t>46584572.7016426</t>
  </si>
  <si>
    <t>47148410.2138298</t>
  </si>
  <si>
    <t>47700255.3113807</t>
  </si>
  <si>
    <t>48240363.0642502</t>
  </si>
  <si>
    <t>48768983.1172404</t>
  </si>
  <si>
    <t>49286359.8053896</t>
  </si>
  <si>
    <t>49792732.2669074</t>
  </si>
  <si>
    <t>50288334.5537069</t>
  </si>
  <si>
    <t>50773395.7395872</t>
  </si>
  <si>
    <t>51248140.0261138</t>
  </si>
  <si>
    <t>51712786.8462478</t>
  </si>
  <si>
    <t>52167550.9657702</t>
  </si>
  <si>
    <t>52612642.58255</t>
  </si>
  <si>
    <t>53048267.4236999</t>
  </si>
  <si>
    <t>53474626.8406664</t>
  </si>
  <si>
    <t>53891917.9022967</t>
  </si>
  <si>
    <t>54300333.4859268</t>
  </si>
  <si>
    <t>54700062.3665318</t>
  </si>
  <si>
    <t>55091289.3039799</t>
  </si>
  <si>
    <t>55474195.1284311</t>
  </si>
  <si>
    <t>55848956.8239192</t>
  </si>
  <si>
    <t>56215747.6101561</t>
  </si>
  <si>
    <t>56574737.022596</t>
  </si>
  <si>
    <t>56926090.9907971</t>
  </si>
  <si>
    <t>57269971.9151165</t>
  </si>
  <si>
    <t>57606538.7417732</t>
  </si>
  <si>
    <t>57935947.0363159</t>
  </si>
  <si>
    <t>58258349.0555268</t>
  </si>
  <si>
    <t>58573893.8177968</t>
  </si>
  <si>
    <t>58882727.1720039</t>
  </si>
  <si>
    <t>59184991.8649263</t>
  </si>
  <si>
    <t>59480827.6072218</t>
  </si>
  <si>
    <t>59770371.1380039</t>
  </si>
  <si>
    <t>60053756.2880445</t>
  </si>
  <si>
    <t>60331114.041632</t>
  </si>
  <si>
    <t>60602572.5971142</t>
  </si>
  <si>
    <t>60868257.4261529</t>
  </si>
  <si>
    <t>61128291.3317189</t>
  </si>
  <si>
    <t>61382794.5048529</t>
  </si>
  <si>
    <t>61631884.5802194</t>
  </si>
  <si>
    <t>61875676.6904788</t>
  </si>
  <si>
    <t>62114283.5195037</t>
  </si>
  <si>
    <t>62347815.3544622</t>
  </si>
  <si>
    <t>62576380.1367947</t>
  </si>
  <si>
    <t>62800083.5121052</t>
  </si>
  <si>
    <t>63019028.8789925</t>
  </si>
  <si>
    <t>63233317.4368424</t>
  </si>
  <si>
    <t>63443048.232603</t>
  </si>
  <si>
    <t>63648318.2065658</t>
  </si>
  <si>
    <t>63849222.2371728</t>
  </si>
  <si>
    <t>64045853.18487</t>
  </si>
  <si>
    <t>64238301.9350296</t>
  </si>
  <si>
    <t>64426657.4399576</t>
  </si>
  <si>
    <t>64611006.7600091</t>
  </si>
  <si>
    <t>64791435.1038287</t>
  </si>
  <si>
    <t>64968025.8677347</t>
  </si>
  <si>
    <t>65140860.6742667</t>
  </si>
  <si>
    <t>65310019.4099116</t>
  </si>
  <si>
    <t>65475580.2620293</t>
  </si>
  <si>
    <t>65637619.7549907</t>
  </si>
  <si>
    <t>65796212.7855493</t>
  </si>
  <si>
    <t>65951432.6574589</t>
  </si>
  <si>
    <t>66103351.1153556</t>
  </si>
  <si>
    <t>66252038.3779192</t>
  </si>
  <si>
    <t>66397563.1703291</t>
  </si>
  <si>
    <t>66539992.7560301</t>
  </si>
  <si>
    <t>66679392.9678224</t>
  </si>
  <si>
    <t>66815828.2382901</t>
  </si>
  <si>
    <t>66949361.6295833</t>
  </si>
  <si>
    <t>67080054.8625656</t>
  </si>
  <si>
    <t>67207968.345343</t>
  </si>
  <si>
    <t>67333161.2011846</t>
  </si>
  <si>
    <t>67455691.2958507</t>
  </si>
  <si>
    <t>67575615.2643387</t>
  </si>
  <si>
    <t>67692988.5370609</t>
  </si>
  <si>
    <t>67807865.365465</t>
  </si>
  <si>
    <t>67920298.8471094</t>
  </si>
  <si>
    <t>68030340.9502064</t>
  </si>
  <si>
    <t>68138042.5376419</t>
  </si>
  <si>
    <t>68243453.3904853</t>
  </si>
  <si>
    <t>68346622.2309987</t>
  </si>
  <si>
    <t>68447596.7451569</t>
  </si>
  <si>
    <t>68546423.604689</t>
  </si>
  <si>
    <t>68643148.4886498</t>
  </si>
  <si>
    <t>68737816.1045343</t>
  </si>
  <si>
    <t>68830470.2089411</t>
  </si>
  <si>
    <t>68921153.627798</t>
  </si>
  <si>
    <t>69009908.2761561</t>
  </si>
  <si>
    <t>69096775.1775641</t>
  </si>
  <si>
    <t>69181794.4830294</t>
  </si>
  <si>
    <t>69265005.4895766</t>
  </si>
  <si>
    <t>69346446.6584113</t>
  </si>
  <si>
    <t>69426155.632697</t>
  </si>
  <si>
    <t>69504169.2549545</t>
  </si>
  <si>
    <t>69580523.5840909</t>
  </si>
  <si>
    <t>69655253.9120665</t>
  </si>
  <si>
    <t>69728394.7802073</t>
  </si>
  <si>
    <t>69799979.9951703</t>
  </si>
  <si>
    <t>69870042.6445694</t>
  </si>
  <si>
    <t>69938615.1122691</t>
  </si>
  <si>
    <t>70005729.0933525</t>
  </si>
  <si>
    <t>70071415.6087713</t>
  </si>
  <si>
    <t>70135705.0196841</t>
  </si>
  <si>
    <t>70198627.0414897</t>
  </si>
  <si>
    <t>70260210.757562</t>
  </si>
  <si>
    <t>70320484.6326925</t>
  </si>
  <si>
    <t>70379476.5262473</t>
  </si>
  <si>
    <t>70437213.705044</t>
  </si>
  <si>
    <t>70493722.8559549</t>
  </si>
  <si>
    <t>70549030.0982417</t>
  </si>
  <si>
    <t>70603160.9956285</t>
  </si>
  <si>
    <t>70656140.5681174</t>
  </si>
  <si>
    <t>70707993.3035535</t>
  </si>
  <si>
    <t>45609611.8473601</t>
  </si>
  <si>
    <t>46381554.7469202</t>
  </si>
  <si>
    <t>47129078.7111445</t>
  </si>
  <si>
    <t>47852394.6013806</t>
  </si>
  <si>
    <t>48551769.1117539</t>
  </si>
  <si>
    <t>49227518.5754405</t>
  </si>
  <si>
    <t>49880003.1122572</t>
  </si>
  <si>
    <t>50509621.1249707</t>
  </si>
  <si>
    <t>51116804.1469108</t>
  </si>
  <si>
    <t>51702012.0393964</t>
  </si>
  <si>
    <t>52265728.5340663</t>
  </si>
  <si>
    <t>52808457.1123975</t>
  </si>
  <si>
    <t>53330717.212423</t>
  </si>
  <si>
    <t>53833040.750874</t>
  </si>
  <si>
    <t>54315968.947598</t>
  </si>
  <si>
    <t>54780049.4381111</t>
  </si>
  <si>
    <t>55225833.6594581</t>
  </si>
  <si>
    <t>55653874.4941497</t>
  </si>
  <si>
    <t>56064724.1567722</t>
  </si>
  <si>
    <t>56458932.307883</t>
  </si>
  <si>
    <t>56837044.3799889</t>
  </si>
  <si>
    <t>57199600.1007173</t>
  </si>
  <si>
    <t>57547132.1987073</t>
  </si>
  <si>
    <t>57880165.2782511</t>
  </si>
  <si>
    <t>58199214.849279</t>
  </si>
  <si>
    <t>58504786.4998892</t>
  </si>
  <si>
    <t>58797375.1992658</t>
  </si>
  <si>
    <t>59077464.7194852</t>
  </si>
  <si>
    <t>59345527.1653773</t>
  </si>
  <si>
    <t>59602022.6022734</t>
  </si>
  <si>
    <t>59847398.7721293</t>
  </si>
  <si>
    <t>60082090.8891572</t>
  </si>
  <si>
    <t>60306521.5067221</t>
  </si>
  <si>
    <t>60521100.4478657</t>
  </si>
  <si>
    <t>60726224.792396</t>
  </si>
  <si>
    <t>60922278.9140373</t>
  </si>
  <si>
    <t>61109634.5616553</t>
  </si>
  <si>
    <t>61288650.9790742</t>
  </si>
  <si>
    <t>61459675.0584666</t>
  </si>
  <si>
    <t>61623041.5227396</t>
  </si>
  <si>
    <t>61779073.1327496</t>
  </si>
  <si>
    <t>61928080.9155643</t>
  </si>
  <si>
    <t>62070364.4103486</t>
  </si>
  <si>
    <t>62206211.9287803</t>
  </si>
  <si>
    <t>62335900.8272117</t>
  </si>
  <si>
    <t>62459697.7880765</t>
  </si>
  <si>
    <t>62577859.1083021</t>
  </si>
  <si>
    <t>62690630.9927291</t>
  </si>
  <si>
    <t>62798249.8507617</t>
  </si>
  <si>
    <t>62900942.5946724</t>
  </si>
  <si>
    <t>62998926.9381725</t>
  </si>
  <si>
    <t>63092411.6940258</t>
  </si>
  <si>
    <t>63181597.0696393</t>
  </si>
  <si>
    <t>63266674.9597009</t>
  </si>
  <si>
    <t>63347829.2350645</t>
  </si>
  <si>
    <t>63425236.0271935</t>
  </si>
  <si>
    <t>63499064.0075802</t>
  </si>
  <si>
    <t>63569474.6616492</t>
  </si>
  <si>
    <t>63636622.5567392</t>
  </si>
  <si>
    <t>63700655.6038295</t>
  </si>
  <si>
    <t>63761715.3127478</t>
  </si>
  <si>
    <t>63819937.0406534</t>
  </si>
  <si>
    <t>63875450.2336444</t>
  </si>
  <si>
    <t>63928378.661384</t>
  </si>
  <si>
    <t>63978840.6446844</t>
  </si>
  <si>
    <t>64026949.2760202</t>
  </si>
  <si>
    <t>64072812.6329798</t>
  </si>
  <si>
    <t>64116533.9846879</t>
  </si>
  <si>
    <t>64158211.9912574</t>
  </si>
  <si>
    <t>64197940.8963531</t>
  </si>
  <si>
    <t>64235810.7129619</t>
  </si>
  <si>
    <t>64271907.4024855</t>
  </si>
  <si>
    <t>64306313.047281</t>
  </si>
  <si>
    <t>64339106.0167862</t>
  </si>
  <si>
    <t>64370361.1273757</t>
  </si>
  <si>
    <t>64400149.7961015</t>
  </si>
  <si>
    <t>64428540.188475</t>
  </si>
  <si>
    <t>64455597.3604553</t>
  </si>
  <si>
    <t>64481383.3948071</t>
  </si>
  <si>
    <t>64505957.5319974</t>
  </si>
  <si>
    <t>64529376.2957984</t>
  </si>
  <si>
    <t>64551693.6137662</t>
  </si>
  <si>
    <t>64572960.9327616</t>
  </si>
  <si>
    <t>64593227.3296816</t>
  </si>
  <si>
    <t>64612539.617565</t>
  </si>
  <si>
    <t>64630942.4472357</t>
  </si>
  <si>
    <t>64648478.404643</t>
  </si>
  <si>
    <t>64665188.1040577</t>
  </si>
  <si>
    <t>64681110.277275</t>
  </si>
  <si>
    <t>64696281.8589781</t>
  </si>
  <si>
    <t>64710738.0684061</t>
  </si>
  <si>
    <t>64724512.4874723</t>
  </si>
  <si>
    <t>64737637.1354695</t>
  </si>
  <si>
    <t>64750142.5404988</t>
  </si>
  <si>
    <t>64762057.8077534</t>
  </si>
  <si>
    <t>64773410.6847839</t>
  </si>
  <si>
    <t>64784227.6238684</t>
  </si>
  <si>
    <t>64794533.8416063</t>
  </si>
  <si>
    <t>64804353.3758527</t>
  </si>
  <si>
    <t>64813709.140101</t>
  </si>
  <si>
    <t>64822622.975425</t>
  </si>
  <si>
    <t>64831115.7000808</t>
  </si>
  <si>
    <t>64839207.1568702</t>
  </si>
  <si>
    <t>64846916.2583596</t>
  </si>
  <si>
    <t>64854261.0300495</t>
  </si>
  <si>
    <t>64861258.65158</t>
  </si>
  <si>
    <t>64867925.4960603</t>
  </si>
  <si>
    <t>64874277.1676034</t>
  </si>
  <si>
    <t>64880328.537144</t>
  </si>
  <si>
    <t>64886093.7766163</t>
  </si>
  <si>
    <t>64891586.3915642</t>
  </si>
  <si>
    <t>64896819.2522518</t>
  </si>
  <si>
    <t>64901804.6233434</t>
  </si>
  <si>
    <t>64906554.1922154</t>
  </si>
  <si>
    <t>64911079.0959614</t>
  </si>
  <si>
    <t>45797098.6486486</t>
  </si>
  <si>
    <t>46775945.2972973</t>
  </si>
  <si>
    <t>47754791.9459459</t>
  </si>
  <si>
    <t>48733638.5945946</t>
  </si>
  <si>
    <t>49712485.2432432</t>
  </si>
  <si>
    <t>50691331.8918919</t>
  </si>
  <si>
    <t>51670178.5405405</t>
  </si>
  <si>
    <t>52649025.1891892</t>
  </si>
  <si>
    <t>53627871.8378378</t>
  </si>
  <si>
    <t>54606718.4864865</t>
  </si>
  <si>
    <t>55585565.1351351</t>
  </si>
  <si>
    <t>56564411.7837838</t>
  </si>
  <si>
    <t>57543258.4324324</t>
  </si>
  <si>
    <t>58522105.0810811</t>
  </si>
  <si>
    <t>59500951.7297297</t>
  </si>
  <si>
    <t>60479798.3783784</t>
  </si>
  <si>
    <t>61458645.027027</t>
  </si>
  <si>
    <t>62437491.6756757</t>
  </si>
  <si>
    <t>63416338.3243243</t>
  </si>
  <si>
    <t>64395184.972973</t>
  </si>
  <si>
    <t>65374031.6216216</t>
  </si>
  <si>
    <t>66352878.2702703</t>
  </si>
  <si>
    <t>67331724.9189189</t>
  </si>
  <si>
    <t>68310571.5675676</t>
  </si>
  <si>
    <t>69289418.2162162</t>
  </si>
  <si>
    <t>70268264.8648649</t>
  </si>
  <si>
    <t>71247111.5135135</t>
  </si>
  <si>
    <t>72225958.1621622</t>
  </si>
  <si>
    <t>73204804.8108108</t>
  </si>
  <si>
    <t>74183651.4594595</t>
  </si>
  <si>
    <t>75162498.1081081</t>
  </si>
  <si>
    <t>76141344.7567568</t>
  </si>
  <si>
    <t>77120191.4054054</t>
  </si>
  <si>
    <t>78099038.0540541</t>
  </si>
  <si>
    <t>79077884.7027027</t>
  </si>
  <si>
    <t>80056731.3513514</t>
  </si>
  <si>
    <t>81035578</t>
  </si>
  <si>
    <t>82014424.6486486</t>
  </si>
  <si>
    <t>82993271.2972973</t>
  </si>
  <si>
    <t>83972117.9459459</t>
  </si>
  <si>
    <t>84950964.5945946</t>
  </si>
  <si>
    <t>85929811.2432432</t>
  </si>
  <si>
    <t>86908657.8918919</t>
  </si>
  <si>
    <t>87887504.5405405</t>
  </si>
  <si>
    <t>88866351.1891892</t>
  </si>
  <si>
    <t>89845197.8378378</t>
  </si>
  <si>
    <t>90824044.4864865</t>
  </si>
  <si>
    <t>91802891.1351351</t>
  </si>
  <si>
    <t>92781737.7837838</t>
  </si>
  <si>
    <t>93760584.4324324</t>
  </si>
  <si>
    <t>94739431.0810811</t>
  </si>
  <si>
    <t>95718277.7297297</t>
  </si>
  <si>
    <t>96697124.3783784</t>
  </si>
  <si>
    <t>97675971.027027</t>
  </si>
  <si>
    <t>98654817.6756757</t>
  </si>
  <si>
    <t>99633664.3243243</t>
  </si>
  <si>
    <t>100612510.972973</t>
  </si>
  <si>
    <t>101591357.621622</t>
  </si>
  <si>
    <t>102570204.27027</t>
  </si>
  <si>
    <t>103549050.918919</t>
  </si>
  <si>
    <t>104527897.567568</t>
  </si>
  <si>
    <t>105506744.216216</t>
  </si>
  <si>
    <t>106485590.864865</t>
  </si>
  <si>
    <t>107464437.513513</t>
  </si>
  <si>
    <t>108443284.162162</t>
  </si>
  <si>
    <t>109422130.810811</t>
  </si>
  <si>
    <t>110400977.459459</t>
  </si>
  <si>
    <t>111379824.108108</t>
  </si>
  <si>
    <t>112358670.756757</t>
  </si>
  <si>
    <t>113337517.405405</t>
  </si>
  <si>
    <t>114316364.054054</t>
  </si>
  <si>
    <t>115295210.702703</t>
  </si>
  <si>
    <t>116274057.351351</t>
  </si>
  <si>
    <t>117252904</t>
  </si>
  <si>
    <t>118231750.648649</t>
  </si>
  <si>
    <t>119210597.297297</t>
  </si>
  <si>
    <t>120189443.945946</t>
  </si>
  <si>
    <t>121168290.594595</t>
  </si>
  <si>
    <t>122147137.243243</t>
  </si>
  <si>
    <t>123125983.891892</t>
  </si>
  <si>
    <t>124104830.540541</t>
  </si>
  <si>
    <t>125083677.189189</t>
  </si>
  <si>
    <t>126062523.837838</t>
  </si>
  <si>
    <t>127041370.486486</t>
  </si>
  <si>
    <t>128020217.135135</t>
  </si>
  <si>
    <t>128999063.783784</t>
  </si>
  <si>
    <t>129977910.432432</t>
  </si>
  <si>
    <t>130956757.081081</t>
  </si>
  <si>
    <t>131935603.72973</t>
  </si>
  <si>
    <t>132914450.378378</t>
  </si>
  <si>
    <t>133893297.027027</t>
  </si>
  <si>
    <t>134872143.675676</t>
  </si>
  <si>
    <t>135850990.324324</t>
  </si>
  <si>
    <t>136829836.972973</t>
  </si>
  <si>
    <t>137808683.621622</t>
  </si>
  <si>
    <t>138787530.27027</t>
  </si>
  <si>
    <t>139766376.918919</t>
  </si>
  <si>
    <t>140745223.567568</t>
  </si>
  <si>
    <t>141724070.216216</t>
  </si>
  <si>
    <t>142702916.864865</t>
  </si>
  <si>
    <t>143681763.513513</t>
  </si>
  <si>
    <t>144660610.162162</t>
  </si>
  <si>
    <t>145639456.810811</t>
  </si>
  <si>
    <t>146618303.459459</t>
  </si>
  <si>
    <t>147597150.108108</t>
  </si>
  <si>
    <t>148575996.756757</t>
  </si>
  <si>
    <t>149554843.405405</t>
  </si>
  <si>
    <t>150533690.054054</t>
  </si>
  <si>
    <t>151512536.702703</t>
  </si>
  <si>
    <t>152491383.351351</t>
  </si>
  <si>
    <t>153470230</t>
  </si>
  <si>
    <t>154449076.648649</t>
  </si>
  <si>
    <t>155427923.297297</t>
  </si>
  <si>
    <t>156406769.945946</t>
  </si>
  <si>
    <t>157385616.594595</t>
  </si>
  <si>
    <t>44921808.1497577</t>
  </si>
  <si>
    <t>45004659.6866375</t>
  </si>
  <si>
    <t>45085854.1837214</t>
  </si>
  <si>
    <t>45165424.7819866</t>
  </si>
  <si>
    <t>45243403.9595868</t>
  </si>
  <si>
    <t>45319823.5451095</t>
  </si>
  <si>
    <t>45394714.7305666</t>
  </si>
  <si>
    <t>45468108.0841266</t>
  </si>
  <si>
    <t>45540033.5625912</t>
  </si>
  <si>
    <t>45610520.5236228</t>
  </si>
  <si>
    <t>45679597.7377273</t>
  </si>
  <si>
    <t>45747293.3999973</t>
  </si>
  <si>
    <t>45813635.1416207</t>
  </si>
  <si>
    <t>45878650.0411584</t>
  </si>
  <si>
    <t>45942364.6355971</t>
  </si>
  <si>
    <t>46004804.9311811</t>
  </si>
  <si>
    <t>46065996.4140266</t>
  </si>
  <si>
    <t>46125964.0605251</t>
  </si>
  <si>
    <t>46184732.3475373</t>
  </si>
  <si>
    <t>46242325.262384</t>
  </si>
  <si>
    <t>46298766.312637</t>
  </si>
  <si>
    <t>46354078.5357141</t>
  </si>
  <si>
    <t>46408284.5082824</t>
  </si>
  <si>
    <t>46461406.3554728</t>
  </si>
  <si>
    <t>46513465.7599116</t>
  </si>
  <si>
    <t>46564483.9705698</t>
  </si>
  <si>
    <t>46614481.811437</t>
  </si>
  <si>
    <t>46663479.6900205</t>
  </si>
  <si>
    <t>46711497.6056753</t>
  </si>
  <si>
    <t>46758555.1577671</t>
  </si>
  <si>
    <t>46804671.5536722</t>
  </si>
  <si>
    <t>46849865.6166172</t>
  </si>
  <si>
    <t>46894155.7933622</t>
  </si>
  <si>
    <t>46937560.1617299</t>
  </si>
  <si>
    <t>46980096.4379848</t>
  </si>
  <si>
    <t>47021781.9840641</t>
  </si>
  <si>
    <t>47062633.8146643</t>
  </si>
  <si>
    <t>47102668.604186</t>
  </si>
  <si>
    <t>47141902.6935402</t>
  </si>
  <si>
    <t>47180352.0968179</t>
  </si>
  <si>
    <t>47218032.5078262</t>
  </si>
  <si>
    <t>47254959.3064947</t>
  </si>
  <si>
    <t>47291147.5651526</t>
  </si>
  <si>
    <t>47326612.0546807</t>
  </si>
  <si>
    <t>47361367.250541</t>
  </si>
  <si>
    <t>47395427.3386842</t>
  </si>
  <si>
    <t>47428806.2213407</t>
  </si>
  <si>
    <t>47461517.5226946</t>
  </si>
  <si>
    <t>47493574.5944452</t>
  </si>
  <si>
    <t>47524990.5212558</t>
  </si>
  <si>
    <t>47555778.1260955</t>
  </si>
  <si>
    <t>47585949.9754724</t>
  </si>
  <si>
    <t>47615518.3845629</t>
  </si>
  <si>
    <t>47644495.4222389</t>
  </si>
  <si>
    <t>47672892.9159933</t>
  </si>
  <si>
    <t>47700722.4567678</t>
  </si>
  <si>
    <t>47727995.4036842</t>
  </si>
  <si>
    <t>47754722.8886805</t>
  </si>
  <si>
    <t>47780915.8210547</t>
  </si>
  <si>
    <t>47806584.8919176</t>
  </si>
  <si>
    <t>47831740.5785569</t>
  </si>
  <si>
    <t>47856393.1487131</t>
  </si>
  <si>
    <t>47880552.6647709</t>
  </si>
  <si>
    <t>47904228.9878661</t>
  </si>
  <si>
    <t>47927431.7819108</t>
  </si>
  <si>
    <t>47950170.5175378</t>
  </si>
  <si>
    <t>47972454.4759663</t>
  </si>
  <si>
    <t>47994292.7527898</t>
  </si>
  <si>
    <t>48015694.2616892</t>
  </si>
  <si>
    <t>48036667.7380708</t>
  </si>
  <si>
    <t>48057221.7426317</t>
  </si>
  <si>
    <t>48077364.6648542</t>
  </si>
  <si>
    <t>48097104.7264299</t>
  </si>
  <si>
    <t>48116449.9846159</t>
  </si>
  <si>
    <t>48135408.3355232</t>
  </si>
  <si>
    <t>48153987.5173396</t>
  </si>
  <si>
    <t>48172195.1134883</t>
  </si>
  <si>
    <t>48190038.5557234</t>
  </si>
  <si>
    <t>48207525.127163</t>
  </si>
  <si>
    <t>48224661.9652619</t>
  </si>
  <si>
    <t>48241456.0647253</t>
  </si>
  <si>
    <t>48257914.2803632</t>
  </si>
  <si>
    <t>48274043.329889</t>
  </si>
  <si>
    <t>48289849.7966609</t>
  </si>
  <si>
    <t>48305340.1323692</t>
  </si>
  <si>
    <t>48320520.6596697</t>
  </si>
  <si>
    <t>48335397.5747645</t>
  </si>
  <si>
    <t>48349976.9499309</t>
  </si>
  <si>
    <t>48364264.736</t>
  </si>
  <si>
    <t>48378266.7647855</t>
  </si>
  <si>
    <t>48391988.7514646</t>
  </si>
  <si>
    <t>48405436.2969097</t>
  </si>
  <si>
    <t>48418614.8899758</t>
  </si>
  <si>
    <t>48431529.9097397</t>
  </si>
  <si>
    <t>48444186.6276963</t>
  </si>
  <si>
    <t>48456590.2099099</t>
  </si>
  <si>
    <t>48468745.7191232</t>
  </si>
  <si>
    <t>48480658.1168233</t>
  </si>
  <si>
    <t>48492332.2652669</t>
  </si>
  <si>
    <t>48503772.9294653</t>
  </si>
  <si>
    <t>48514984.779129</t>
  </si>
  <si>
    <t>48525972.3905735</t>
  </si>
  <si>
    <t>48536740.2485879</t>
  </si>
  <si>
    <t>48547292.7482647</t>
  </si>
  <si>
    <t>48557634.1967942</t>
  </si>
  <si>
    <t>48567768.8152225</t>
  </si>
  <si>
    <t>48577700.7401742</t>
  </si>
  <si>
    <t>48587434.025541</t>
  </si>
  <si>
    <t>48596972.6441363</t>
  </si>
  <si>
    <t>48606320.4893168</t>
  </si>
  <si>
    <t>48615481.3765717</t>
  </si>
  <si>
    <t>48624459.04508</t>
  </si>
  <si>
    <t>48633257.1592365</t>
  </si>
  <si>
    <t>48641879.310148</t>
  </si>
  <si>
    <t>48650329.0170985</t>
  </si>
  <si>
    <t>Valuation</t>
  </si>
  <si>
    <t>Model</t>
  </si>
  <si>
    <t>AVERAGEIFS($P$8:$P$122;$M$8:$M$122;B$18)</t>
  </si>
  <si>
    <t>Only WW</t>
  </si>
  <si>
    <t>WW and USA</t>
  </si>
  <si>
    <t>138149861.840272</t>
  </si>
  <si>
    <t>140356173.327014</t>
  </si>
  <si>
    <t>142488638.935413</t>
  </si>
  <si>
    <t>144548694.636172</t>
  </si>
  <si>
    <t>146537851.779347</t>
  </si>
  <si>
    <t>148457683.743996</t>
  </si>
  <si>
    <t>150309813.819259</t>
  </si>
  <si>
    <t>152095904.233561</t>
  </si>
  <si>
    <t>153817646.251602</t>
  </si>
  <si>
    <t>155476751.262094</t>
  </si>
  <si>
    <t>157074942.782729</t>
  </si>
  <si>
    <t>158613949.312507</t>
  </si>
  <si>
    <t>160095497.965261</t>
  </si>
  <si>
    <t>161521308.821965</t>
  </si>
  <si>
    <t>162893089.943101</t>
  </si>
  <si>
    <t>164212532.985971</t>
  </si>
  <si>
    <t>165481309.375423</t>
  </si>
  <si>
    <t>166701066.979841</t>
  </si>
  <si>
    <t>167873427.247563</t>
  </si>
  <si>
    <t>168999982.762054</t>
  </si>
  <si>
    <t>170082295.177144</t>
  </si>
  <si>
    <t>171121893.496513</t>
  </si>
  <si>
    <t>172120272.664303</t>
  </si>
  <si>
    <t>173078892.436287</t>
  </si>
  <si>
    <t>173999176.503409</t>
  </si>
  <si>
    <t>174882511.841788</t>
  </si>
  <si>
    <t>175730248.265356</t>
  </si>
  <si>
    <t>176543698.159274</t>
  </si>
  <si>
    <t>177324136.374134</t>
  </si>
  <si>
    <t>178072800.26262</t>
  </si>
  <si>
    <t>178790889.84191</t>
  </si>
  <si>
    <t>179479568.066585</t>
  </si>
  <si>
    <t>180139961.198147</t>
  </si>
  <si>
    <t>180773159.258525</t>
  </si>
  <si>
    <t>181380216.556117</t>
  </si>
  <si>
    <t>181962152.273974</t>
  </si>
  <si>
    <t>182519951.110738</t>
  </si>
  <si>
    <t>183054563.965846</t>
  </si>
  <si>
    <t>183566908.66135</t>
  </si>
  <si>
    <t>184057870.693475</t>
  </si>
  <si>
    <t>184528304.007736</t>
  </si>
  <si>
    <t>184979031.792084</t>
  </si>
  <si>
    <t>185410847.283136</t>
  </si>
  <si>
    <t>185824514.581081</t>
  </si>
  <si>
    <t>186220769.469361</t>
  </si>
  <si>
    <t>186600320.235638</t>
  </si>
  <si>
    <t>186963848.491022</t>
  </si>
  <si>
    <t>187312009.984835</t>
  </si>
  <si>
    <t>187645435.412591</t>
  </si>
  <si>
    <t>187964731.215132</t>
  </si>
  <si>
    <t>188270480.367148</t>
  </si>
  <si>
    <t>188563243.153569</t>
  </si>
  <si>
    <t>188843557.932525</t>
  </si>
  <si>
    <t>189111941.883797</t>
  </si>
  <si>
    <t>189368891.741837</t>
  </si>
  <si>
    <t>189614884.512618</t>
  </si>
  <si>
    <t>189850378.173719</t>
  </si>
  <si>
    <t>190075812.357186</t>
  </si>
  <si>
    <t>190291609.014806</t>
  </si>
  <si>
    <t>190498173.065567</t>
  </si>
  <si>
    <t>190695893.025151</t>
  </si>
  <si>
    <t>190885141.61739</t>
  </si>
  <si>
    <t>191066276.367692</t>
  </si>
  <si>
    <t>191239640.178509</t>
  </si>
  <si>
    <t>191405561.886973</t>
  </si>
  <si>
    <t>191564356.804871</t>
  </si>
  <si>
    <t>191716327.241179</t>
  </si>
  <si>
    <t>191861763.007403</t>
  </si>
  <si>
    <t>192000941.906019</t>
  </si>
  <si>
    <t>192134130.202316</t>
  </si>
  <si>
    <t>192261583.079975</t>
  </si>
  <si>
    <t>192383545.08073</t>
  </si>
  <si>
    <t>192500250.528487</t>
  </si>
  <si>
    <t>192611923.938265</t>
  </si>
  <si>
    <t>192718780.410348</t>
  </si>
  <si>
    <t>192821026.010042</t>
  </si>
  <si>
    <t>192918858.133427</t>
  </si>
  <si>
    <t>193012465.859504</t>
  </si>
  <si>
    <t>193102030.289136</t>
  </si>
  <si>
    <t>193187724.871174</t>
  </si>
  <si>
    <t>193269715.716172</t>
  </si>
  <si>
    <t>193348161.898071</t>
  </si>
  <si>
    <t>193423215.744241</t>
  </si>
  <si>
    <t>193495023.114279</t>
  </si>
  <si>
    <t>193563723.667902</t>
  </si>
  <si>
    <t>193629451.122344</t>
  </si>
  <si>
    <t>193692333.499587</t>
  </si>
  <si>
    <t>193752493.363799</t>
  </si>
  <si>
    <t>193810048.049313</t>
  </si>
  <si>
    <t>193865109.879487</t>
  </si>
  <si>
    <t>193917786.376784</t>
  </si>
  <si>
    <t>193968180.464374</t>
  </si>
  <si>
    <t>194016390.659585</t>
  </si>
  <si>
    <t>194062511.259501</t>
  </si>
  <si>
    <t>194106632.518998</t>
  </si>
  <si>
    <t>194148840.821505</t>
  </si>
  <si>
    <t>194189218.842772</t>
  </si>
  <si>
    <t>194227845.707903</t>
  </si>
  <si>
    <t>194264797.141923</t>
  </si>
  <si>
    <t>194300145.614122</t>
  </si>
  <si>
    <t>194333960.476424</t>
  </si>
  <si>
    <t>194366308.096015</t>
  </si>
  <si>
    <t>194397251.982448</t>
  </si>
  <si>
    <t>194426852.909461</t>
  </si>
  <si>
    <t>194455169.0317</t>
  </si>
  <si>
    <t>194482255.996557</t>
  </si>
  <si>
    <t>194508167.051331</t>
  </si>
  <si>
    <t>194532953.145877</t>
  </si>
  <si>
    <t>194556663.030949</t>
  </si>
  <si>
    <t>194579343.352391</t>
  </si>
  <si>
    <t>194601038.741369</t>
  </si>
  <si>
    <t>194621791.900774</t>
  </si>
  <si>
    <t>194641643.687989</t>
  </si>
  <si>
    <t>194660633.194136</t>
  </si>
  <si>
    <t>194678797.81997</t>
  </si>
  <si>
    <t>45379074.8539701</t>
  </si>
  <si>
    <t>45951037.3109161</t>
  </si>
  <si>
    <t>46492524.7328009</t>
  </si>
  <si>
    <t>47004823.3642192</t>
  </si>
  <si>
    <t>47489208.6493904</t>
  </si>
  <si>
    <t>47946938.5121103</t>
  </si>
  <si>
    <t>48379247.7678907</t>
  </si>
  <si>
    <t>48787343.542422</t>
  </si>
  <si>
    <t>49172401.5799288</t>
  </si>
  <si>
    <t>49535563.3344445</t>
  </si>
  <si>
    <t>49877933.7463166</t>
  </si>
  <si>
    <t>50200579.6152306</t>
  </si>
  <si>
    <t>50504528.4895958</t>
  </si>
  <si>
    <t>50790768.0002084</t>
  </si>
  <si>
    <t>51060245.5736586</t>
  </si>
  <si>
    <t>51313868.4679509</t>
  </si>
  <si>
    <t>51552504.0792564</t>
  </si>
  <si>
    <t>51776980.4746328</t>
  </si>
  <si>
    <t>51988087.1109291</t>
  </si>
  <si>
    <t>52186575.7049806</t>
  </si>
  <si>
    <t>52373161.2246062</t>
  </si>
  <si>
    <t>52548522.9738878</t>
  </si>
  <si>
    <t>52713305.7497624</t>
  </si>
  <si>
    <t>52868121.0501282</t>
  </si>
  <si>
    <t>53013548.3164876</t>
  </si>
  <si>
    <t>53150136.1966471</t>
  </si>
  <si>
    <t>53278403.815211</t>
  </si>
  <si>
    <t>53398842.0415424</t>
  </si>
  <si>
    <t>53511914.7465858</t>
  </si>
  <si>
    <t>53618060.0414321</t>
  </si>
  <si>
    <t>53717691.4918209</t>
  </si>
  <si>
    <t>53811199.3039028</t>
  </si>
  <si>
    <t>53898951.4775734</t>
  </si>
  <si>
    <t>53981294.9245358</t>
  </si>
  <si>
    <t>54058556.5489808</t>
  </si>
  <si>
    <t>54131044.2893945</t>
  </si>
  <si>
    <t>54199048.1205379</t>
  </si>
  <si>
    <t>54262841.0150901</t>
  </si>
  <si>
    <t>54322679.8648271</t>
  </si>
  <si>
    <t>54378806.3615232</t>
  </si>
  <si>
    <t>54431447.8380222</t>
  </si>
  <si>
    <t>54480818.0701433</t>
  </si>
  <si>
    <t>54527118.0402555</t>
  </si>
  <si>
    <t>54570536.6634961</t>
  </si>
  <si>
    <t>54611251.4777128</t>
  </si>
  <si>
    <t>54649429.2982928</t>
  </si>
  <si>
    <t>54685226.8390986</t>
  </si>
  <si>
    <t>54718791.3007739</t>
  </si>
  <si>
    <t>54750260.9277001</t>
  </si>
  <si>
    <t>54779765.5349033</t>
  </si>
  <si>
    <t>54807427.0062007</t>
  </si>
  <si>
    <t>54833359.7648739</t>
  </si>
  <si>
    <t>54857671.218131</t>
  </si>
  <si>
    <t>54880462.1766007</t>
  </si>
  <si>
    <t>54901827.2500689</t>
  </si>
  <si>
    <t>54921855.2206358</t>
  </si>
  <si>
    <t>54940629.3944365</t>
  </si>
  <si>
    <t>54958227.9330269</t>
  </si>
  <si>
    <t>54974724.1655012</t>
  </si>
  <si>
    <t>54990186.8823589</t>
  </si>
  <si>
    <t>55004680.6121079</t>
  </si>
  <si>
    <t>55018265.8815375</t>
  </si>
  <si>
    <t>55030999.4605632</t>
  </si>
  <si>
    <t>55042934.5924979</t>
  </si>
  <si>
    <t>55054121.210567</t>
  </si>
  <si>
    <t>55064606.1414451</t>
  </si>
  <si>
    <t>55074433.2965531</t>
  </si>
  <si>
    <t>55083643.8518167</t>
  </si>
  <si>
    <t>55092276.4165542</t>
  </si>
  <si>
    <t>55100367.1921229</t>
  </si>
  <si>
    <t>55107950.1209237</t>
  </si>
  <si>
    <t>55115057.0263284</t>
  </si>
  <si>
    <t>55121717.7440656</t>
  </si>
  <si>
    <t>55127960.2455718</t>
  </si>
  <si>
    <t>55133810.7537836</t>
  </si>
  <si>
    <t>55139293.8518238</t>
  </si>
  <si>
    <t>55144432.5850071</t>
  </si>
  <si>
    <t>55149248.5565649</t>
  </si>
  <si>
    <t>55153762.0174704</t>
  </si>
  <si>
    <t>55157991.9507193</t>
  </si>
  <si>
    <t>55161956.1504012</t>
  </si>
  <si>
    <t>55165671.2958799</t>
  </si>
  <si>
    <t>55169153.0213797</t>
  </si>
  <si>
    <t>55172415.981258</t>
  </si>
  <si>
    <t>55175473.9112267</t>
  </si>
  <si>
    <t>55178339.6857735</t>
  </si>
  <si>
    <t>55181025.3720133</t>
  </si>
  <si>
    <t>55183542.2801903</t>
  </si>
  <si>
    <t>55185901.0110372</t>
  </si>
  <si>
    <t>55188111.5001849</t>
  </si>
  <si>
    <t>55190183.0598041</t>
  </si>
  <si>
    <t>55192124.4176507</t>
  </si>
  <si>
    <t>55193943.7536756</t>
  </si>
  <si>
    <t>55195648.7343489</t>
  </si>
  <si>
    <t>55197246.5448405</t>
  </si>
  <si>
    <t>55198743.9191908</t>
  </si>
  <si>
    <t>55200147.1685953</t>
  </si>
  <si>
    <t>55201462.2079204</t>
  </si>
  <si>
    <t>55202694.5805619</t>
  </si>
  <si>
    <t>55203849.4817464</t>
  </si>
  <si>
    <t>55204931.7803759</t>
  </si>
  <si>
    <t>55205946.0395039</t>
  </si>
  <si>
    <t>55206896.5355296</t>
  </si>
  <si>
    <t>55207787.276189</t>
  </si>
  <si>
    <t>55208622.0174202</t>
  </si>
  <si>
    <t>55209404.2791707</t>
  </si>
  <si>
    <t>55210137.3602135</t>
  </si>
  <si>
    <t>55210824.3520357</t>
  </si>
  <si>
    <t>55211468.1518548</t>
  </si>
  <si>
    <t>55212071.4748197</t>
  </si>
  <si>
    <t>55212636.8654453</t>
  </si>
  <si>
    <t>55213166.708331</t>
  </si>
  <si>
    <t>55213663.2382051</t>
  </si>
  <si>
    <t>55214128.5493407</t>
  </si>
  <si>
    <t>55214564.6043788</t>
  </si>
  <si>
    <t>Growth rate</t>
  </si>
  <si>
    <t>37-month</t>
  </si>
  <si>
    <t>12-month</t>
  </si>
  <si>
    <t>Historical growth - 37M</t>
  </si>
  <si>
    <t>Historical growth - 12M</t>
  </si>
  <si>
    <t>USA</t>
  </si>
  <si>
    <t>Last 37 months</t>
  </si>
  <si>
    <t>Last 12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</si>
</sst>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&quot;$&quot;#,##0.00"/>
    <numFmt numFmtId="167" formatCode="&quot;$&quot;#,##0"/>
    <numFmt numFmtId="168" formatCode="_(* #,##0_);_(* \(#,##0\);_(* &quot;-&quot;??_);_(@_)"/>
    <numFmt numFmtId="169" formatCode="0.0%"/>
    <numFmt numFmtId="170" formatCode="0.0"/>
    <numFmt numFmtId="171" formatCode="&quot;$&quot;#,##0.0000"/>
    <numFmt numFmtId="172" formatCode="_(&quot;$&quot;* #,##0_);_(&quot;$&quot;* \(#,##0\);_(&quot;$&quot;* &quot;-&quot;??_);_(@_)"/>
    <numFmt numFmtId="173" formatCode="[$-409]mmm\-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sz val="10"/>
      <color theme="1"/>
      <name val="arial"/>
      <family val="2"/>
    </font>
    <font>
      <i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"/>
      <color theme="1"/>
      <name val="Times New Roman"/>
      <family val="1"/>
    </font>
    <font>
      <sz val="12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7903B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7" fillId="0" borderId="0"/>
    <xf numFmtId="0" fontId="10" fillId="0" borderId="0"/>
  </cellStyleXfs>
  <cellXfs count="78">
    <xf numFmtId="0" fontId="0" fillId="0" borderId="0" xfId="0"/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9" fontId="3" fillId="0" borderId="0" xfId="2" applyFont="1" applyAlignment="1">
      <alignment horizontal="center"/>
    </xf>
    <xf numFmtId="9" fontId="3" fillId="0" borderId="1" xfId="2" applyFont="1" applyBorder="1" applyAlignment="1">
      <alignment horizontal="center"/>
    </xf>
    <xf numFmtId="0" fontId="3" fillId="0" borderId="0" xfId="0" applyFont="1" applyAlignment="1">
      <alignment wrapText="1"/>
    </xf>
    <xf numFmtId="166" fontId="3" fillId="0" borderId="0" xfId="1" applyNumberFormat="1" applyFont="1" applyAlignment="1">
      <alignment horizontal="center"/>
    </xf>
    <xf numFmtId="167" fontId="3" fillId="0" borderId="0" xfId="1" applyNumberFormat="1" applyFont="1" applyAlignment="1">
      <alignment horizontal="center"/>
    </xf>
    <xf numFmtId="166" fontId="3" fillId="0" borderId="1" xfId="1" applyNumberFormat="1" applyFont="1" applyBorder="1" applyAlignment="1">
      <alignment horizontal="center"/>
    </xf>
    <xf numFmtId="167" fontId="3" fillId="0" borderId="1" xfId="1" applyNumberFormat="1" applyFont="1" applyBorder="1" applyAlignment="1">
      <alignment horizontal="center"/>
    </xf>
    <xf numFmtId="168" fontId="3" fillId="0" borderId="0" xfId="3" applyNumberFormat="1" applyFont="1" applyAlignment="1">
      <alignment horizontal="center"/>
    </xf>
    <xf numFmtId="0" fontId="5" fillId="0" borderId="0" xfId="0" applyFont="1"/>
    <xf numFmtId="9" fontId="3" fillId="0" borderId="0" xfId="0" applyNumberFormat="1" applyFont="1"/>
    <xf numFmtId="169" fontId="3" fillId="0" borderId="0" xfId="0" applyNumberFormat="1" applyFont="1"/>
    <xf numFmtId="168" fontId="3" fillId="0" borderId="0" xfId="0" applyNumberFormat="1" applyFont="1"/>
    <xf numFmtId="170" fontId="3" fillId="0" borderId="0" xfId="0" applyNumberFormat="1" applyFont="1"/>
    <xf numFmtId="165" fontId="3" fillId="0" borderId="0" xfId="1" applyFont="1"/>
    <xf numFmtId="165" fontId="3" fillId="0" borderId="0" xfId="1" applyNumberFormat="1" applyFont="1"/>
    <xf numFmtId="165" fontId="3" fillId="0" borderId="0" xfId="0" applyNumberFormat="1" applyFont="1"/>
    <xf numFmtId="167" fontId="0" fillId="0" borderId="0" xfId="0" applyNumberFormat="1"/>
    <xf numFmtId="171" fontId="0" fillId="0" borderId="0" xfId="0" applyNumberFormat="1"/>
    <xf numFmtId="172" fontId="3" fillId="0" borderId="0" xfId="1" applyNumberFormat="1" applyFont="1"/>
    <xf numFmtId="172" fontId="3" fillId="0" borderId="0" xfId="0" applyNumberFormat="1" applyFont="1"/>
    <xf numFmtId="0" fontId="4" fillId="0" borderId="3" xfId="0" applyFont="1" applyBorder="1"/>
    <xf numFmtId="172" fontId="3" fillId="0" borderId="4" xfId="0" applyNumberFormat="1" applyFont="1" applyBorder="1"/>
    <xf numFmtId="0" fontId="3" fillId="0" borderId="0" xfId="0" applyFont="1" applyBorder="1"/>
    <xf numFmtId="9" fontId="3" fillId="0" borderId="0" xfId="0" applyNumberFormat="1" applyFont="1" applyBorder="1"/>
    <xf numFmtId="172" fontId="3" fillId="0" borderId="0" xfId="0" applyNumberFormat="1" applyFont="1" applyBorder="1"/>
    <xf numFmtId="0" fontId="5" fillId="0" borderId="0" xfId="0" applyFont="1" applyBorder="1"/>
    <xf numFmtId="3" fontId="3" fillId="0" borderId="0" xfId="0" applyNumberFormat="1" applyFont="1" applyAlignment="1">
      <alignment horizontal="center"/>
    </xf>
    <xf numFmtId="10" fontId="3" fillId="0" borderId="0" xfId="0" applyNumberFormat="1" applyFont="1"/>
    <xf numFmtId="0" fontId="4" fillId="0" borderId="0" xfId="0" applyFont="1" applyBorder="1"/>
    <xf numFmtId="2" fontId="3" fillId="0" borderId="0" xfId="0" applyNumberFormat="1" applyFont="1" applyAlignment="1">
      <alignment horizontal="center"/>
    </xf>
    <xf numFmtId="0" fontId="2" fillId="0" borderId="0" xfId="4"/>
    <xf numFmtId="0" fontId="8" fillId="2" borderId="0" xfId="5" applyFont="1" applyFill="1" applyAlignment="1">
      <alignment horizontal="center" vertical="center" wrapText="1"/>
    </xf>
    <xf numFmtId="0" fontId="9" fillId="0" borderId="0" xfId="5" applyFont="1" applyFill="1" applyAlignment="1">
      <alignment horizontal="center" vertical="center" wrapText="1"/>
    </xf>
    <xf numFmtId="49" fontId="13" fillId="0" borderId="0" xfId="4" applyNumberFormat="1" applyFont="1"/>
    <xf numFmtId="0" fontId="2" fillId="0" borderId="0" xfId="4" applyBorder="1"/>
    <xf numFmtId="0" fontId="13" fillId="0" borderId="0" xfId="0" applyFont="1" applyAlignment="1">
      <alignment vertical="center"/>
    </xf>
    <xf numFmtId="0" fontId="0" fillId="0" borderId="0" xfId="0" applyFont="1"/>
    <xf numFmtId="3" fontId="1" fillId="0" borderId="1" xfId="0" applyNumberFormat="1" applyFont="1" applyBorder="1"/>
    <xf numFmtId="3" fontId="0" fillId="0" borderId="1" xfId="0" applyNumberFormat="1" applyBorder="1"/>
    <xf numFmtId="0" fontId="1" fillId="0" borderId="1" xfId="0" applyFont="1" applyBorder="1"/>
    <xf numFmtId="173" fontId="0" fillId="0" borderId="0" xfId="0" applyNumberFormat="1"/>
    <xf numFmtId="0" fontId="0" fillId="0" borderId="0" xfId="0" applyNumberForma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3" borderId="5" xfId="0" applyFont="1" applyFill="1" applyBorder="1"/>
    <xf numFmtId="9" fontId="0" fillId="0" borderId="0" xfId="2" applyFont="1"/>
    <xf numFmtId="0" fontId="1" fillId="0" borderId="0" xfId="0" applyFont="1"/>
    <xf numFmtId="168" fontId="17" fillId="3" borderId="0" xfId="3" applyNumberFormat="1" applyFont="1" applyFill="1" applyAlignment="1">
      <alignment horizontal="center"/>
    </xf>
    <xf numFmtId="0" fontId="4" fillId="3" borderId="6" xfId="0" applyFont="1" applyFill="1" applyBorder="1"/>
    <xf numFmtId="0" fontId="3" fillId="3" borderId="8" xfId="0" applyFont="1" applyFill="1" applyBorder="1"/>
    <xf numFmtId="0" fontId="3" fillId="3" borderId="6" xfId="0" applyFont="1" applyFill="1" applyBorder="1"/>
    <xf numFmtId="172" fontId="3" fillId="3" borderId="7" xfId="0" applyNumberFormat="1" applyFont="1" applyFill="1" applyBorder="1"/>
    <xf numFmtId="0" fontId="4" fillId="3" borderId="7" xfId="0" applyFont="1" applyFill="1" applyBorder="1" applyAlignment="1">
      <alignment wrapText="1"/>
    </xf>
    <xf numFmtId="0" fontId="4" fillId="3" borderId="6" xfId="0" applyFont="1" applyFill="1" applyBorder="1" applyAlignment="1">
      <alignment wrapText="1"/>
    </xf>
    <xf numFmtId="172" fontId="3" fillId="3" borderId="6" xfId="0" applyNumberFormat="1" applyFont="1" applyFill="1" applyBorder="1"/>
    <xf numFmtId="10" fontId="0" fillId="0" borderId="0" xfId="2" applyNumberFormat="1" applyFont="1"/>
    <xf numFmtId="0" fontId="1" fillId="0" borderId="0" xfId="0" applyFont="1" applyFill="1" applyBorder="1" applyAlignment="1">
      <alignment horizontal="left"/>
    </xf>
    <xf numFmtId="0" fontId="0" fillId="0" borderId="0" xfId="0" applyFont="1" applyAlignment="1">
      <alignment horizontal="left" indent="1"/>
    </xf>
    <xf numFmtId="0" fontId="11" fillId="0" borderId="0" xfId="6" applyFont="1" applyBorder="1" applyAlignment="1">
      <alignment horizontal="justify" vertical="top" wrapText="1"/>
    </xf>
    <xf numFmtId="0" fontId="10" fillId="0" borderId="0" xfId="6" applyAlignment="1">
      <alignment wrapTex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</cellXfs>
  <cellStyles count="7">
    <cellStyle name="Comma" xfId="3" builtinId="3"/>
    <cellStyle name="Currency" xfId="1" builtinId="4"/>
    <cellStyle name="Normal" xfId="0" builtinId="0"/>
    <cellStyle name="Normal 2" xfId="4"/>
    <cellStyle name="Normal 2 2" xfId="5"/>
    <cellStyle name="Normal 3" xfId="6"/>
    <cellStyle name="Percent" xfId="2" builtinId="5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66675</xdr:rowOff>
    </xdr:from>
    <xdr:to>
      <xdr:col>0</xdr:col>
      <xdr:colOff>1447800</xdr:colOff>
      <xdr:row>1</xdr:row>
      <xdr:rowOff>704850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57175"/>
          <a:ext cx="1377696" cy="6400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6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2.xml><?xml version="1.0" encoding="utf-8"?>
<queryTable xmlns="http://schemas.openxmlformats.org/spreadsheetml/2006/main" name="ExternalData_2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3.xml><?xml version="1.0" encoding="utf-8"?>
<queryTable xmlns="http://schemas.openxmlformats.org/spreadsheetml/2006/main" name="ExternalData_3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4.xml><?xml version="1.0" encoding="utf-8"?>
<queryTable xmlns="http://schemas.openxmlformats.org/spreadsheetml/2006/main" name="ExternalData_4" connectionId="9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5.xml><?xml version="1.0" encoding="utf-8"?>
<queryTable xmlns="http://schemas.openxmlformats.org/spreadsheetml/2006/main" name="ExternalData_5" connectionId="10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6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7.xml><?xml version="1.0" encoding="utf-8"?>
<queryTable xmlns="http://schemas.openxmlformats.org/spreadsheetml/2006/main" name="ExternalData_3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8.xml><?xml version="1.0" encoding="utf-8"?>
<queryTable xmlns="http://schemas.openxmlformats.org/spreadsheetml/2006/main" name="ExternalData_4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9.xml><?xml version="1.0" encoding="utf-8"?>
<queryTable xmlns="http://schemas.openxmlformats.org/spreadsheetml/2006/main" name="ExternalData_5" connectionId="5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Predicted_World_Population_AAZ" displayName="Predicted_World_Population_AAZ" ref="A1:B116" tableType="queryTable" totalsRowShown="0">
  <autoFilter ref="A1:B116"/>
  <tableColumns count="2">
    <tableColumn id="1" uniqueName="1" name="Column1" queryTableFieldId="1"/>
    <tableColumn id="2" uniqueName="2" name="AAZ" queryTableFieldId="2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Predicted_World_Population_ARIMA" displayName="Predicted_World_Population_ARIMA" ref="C1:D116" tableType="queryTable" totalsRowShown="0">
  <autoFilter ref="C1:D116"/>
  <tableColumns count="2">
    <tableColumn id="1" uniqueName="1" name="Column1" queryTableFieldId="1"/>
    <tableColumn id="2" uniqueName="2" name="ARIMA" queryTableFieldId="2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Predicted_World_Population_MMZ" displayName="Predicted_World_Population_MMZ" ref="E1:F116" tableType="queryTable" totalsRowShown="0">
  <autoFilter ref="E1:F116"/>
  <tableColumns count="2">
    <tableColumn id="1" uniqueName="1" name="Column1" queryTableFieldId="1"/>
    <tableColumn id="2" uniqueName="2" name="MMZ" queryTableFieldId="2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Predicted_World_Population_TBATS" displayName="Predicted_World_Population_TBATS" ref="G1:H116" tableType="queryTable" totalsRowShown="0">
  <autoFilter ref="G1:H116"/>
  <tableColumns count="2">
    <tableColumn id="1" uniqueName="1" name="Column1" queryTableFieldId="1"/>
    <tableColumn id="2" uniqueName="2" name="TBATS" queryTableFieldId="2" dataDxf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Predicted_World_Population_ZZZ" displayName="Predicted_World_Population_ZZZ" ref="I1:J116" tableType="queryTable" totalsRowShown="0">
  <autoFilter ref="I1:J116"/>
  <tableColumns count="2">
    <tableColumn id="1" uniqueName="1" name="Column1" queryTableFieldId="1"/>
    <tableColumn id="2" uniqueName="2" name="ZZZ" queryTableFieldId="2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Predicted_USA_Population_AAZ" displayName="Predicted_USA_Population_AAZ" ref="A1:B116" tableType="queryTable" totalsRowShown="0">
  <autoFilter ref="A1:B116"/>
  <tableColumns count="2">
    <tableColumn id="1" uniqueName="1" name="Column1" queryTableFieldId="1"/>
    <tableColumn id="2" uniqueName="2" name="AAZ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8" name="Predicted_USA_Population_ARIMA" displayName="Predicted_USA_Population_ARIMA" ref="C1:D116" tableType="queryTable" totalsRowShown="0">
  <autoFilter ref="C1:D116"/>
  <tableColumns count="2">
    <tableColumn id="1" uniqueName="1" name="Column1" queryTableFieldId="1"/>
    <tableColumn id="2" uniqueName="2" name="ARIMA" queryTableFieldId="2" dataDxf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9" name="Predicted_USA_Population_TBATS" displayName="Predicted_USA_Population_TBATS" ref="G1:H116" tableType="queryTable" totalsRowShown="0">
  <autoFilter ref="G1:H116"/>
  <tableColumns count="2">
    <tableColumn id="1" uniqueName="1" name="Column1" queryTableFieldId="1"/>
    <tableColumn id="2" uniqueName="2" name="TBATS" queryTableFieldId="2" dataDxf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0" name="Predicted_USA_Population_ZZZ" displayName="Predicted_USA_Population_ZZZ" ref="I1:J116" tableType="queryTable" totalsRowShown="0">
  <autoFilter ref="I1:J116"/>
  <tableColumns count="2">
    <tableColumn id="1" uniqueName="1" name="Column1" queryTableFieldId="1"/>
    <tableColumn id="2" uniqueName="2" name="ZZZ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mashable.com/2013/04/17/users-stay-longer-on-tumblr-than-facebook/,%20accessed%20August%2025,%202014.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B7"/>
  <sheetViews>
    <sheetView workbookViewId="0">
      <selection activeCell="H4" sqref="H4"/>
    </sheetView>
  </sheetViews>
  <sheetFormatPr defaultColWidth="9.109375" defaultRowHeight="14.4" x14ac:dyDescent="0.3"/>
  <cols>
    <col min="1" max="1" width="23.44140625" style="44" customWidth="1"/>
    <col min="2" max="2" width="100.33203125" style="44" customWidth="1"/>
    <col min="3" max="16384" width="9.109375" style="44"/>
  </cols>
  <sheetData>
    <row r="2" spans="1:2" ht="65.25" customHeight="1" x14ac:dyDescent="0.3">
      <c r="B2" s="45" t="s">
        <v>0</v>
      </c>
    </row>
    <row r="3" spans="1:2" ht="13.5" customHeight="1" x14ac:dyDescent="0.3">
      <c r="A3" s="46"/>
      <c r="B3" s="46"/>
    </row>
    <row r="4" spans="1:2" ht="54" customHeight="1" x14ac:dyDescent="0.3">
      <c r="A4" s="72" t="s">
        <v>1</v>
      </c>
      <c r="B4" s="73"/>
    </row>
    <row r="5" spans="1:2" x14ac:dyDescent="0.3">
      <c r="A5" s="47" t="s">
        <v>2</v>
      </c>
    </row>
    <row r="6" spans="1:2" x14ac:dyDescent="0.3">
      <c r="A6" s="48"/>
      <c r="B6" s="48"/>
    </row>
    <row r="7" spans="1:2" x14ac:dyDescent="0.3">
      <c r="A7" s="48"/>
    </row>
  </sheetData>
  <mergeCells count="1">
    <mergeCell ref="A4:B4"/>
  </mergeCells>
  <pageMargins left="0.7" right="0.7" top="0.75" bottom="0.75" header="0.3" footer="0.3"/>
  <pageSetup scale="8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8"/>
  <sheetViews>
    <sheetView showGridLines="0" topLeftCell="A2" workbookViewId="0">
      <selection activeCell="C7" sqref="C7:C44"/>
    </sheetView>
  </sheetViews>
  <sheetFormatPr defaultRowHeight="14.4" x14ac:dyDescent="0.3"/>
  <cols>
    <col min="1" max="1" width="11.6640625" customWidth="1"/>
    <col min="2" max="4" width="12.33203125" bestFit="1" customWidth="1"/>
    <col min="5" max="5" width="14.88671875" bestFit="1" customWidth="1"/>
    <col min="6" max="6" width="12.5546875" bestFit="1" customWidth="1"/>
    <col min="8" max="8" width="11.109375" bestFit="1" customWidth="1"/>
  </cols>
  <sheetData>
    <row r="1" spans="1:7" ht="15.75" customHeight="1" x14ac:dyDescent="0.3">
      <c r="A1" s="74" t="s">
        <v>3</v>
      </c>
      <c r="B1" s="74"/>
      <c r="C1" s="74"/>
      <c r="D1" s="74"/>
      <c r="E1" s="74"/>
      <c r="F1" s="74"/>
    </row>
    <row r="2" spans="1:7" ht="15.75" customHeight="1" x14ac:dyDescent="0.3">
      <c r="A2" s="75" t="s">
        <v>4</v>
      </c>
      <c r="B2" s="75"/>
      <c r="C2" s="75"/>
      <c r="D2" s="75"/>
      <c r="E2" s="75"/>
      <c r="F2" s="75"/>
    </row>
    <row r="3" spans="1:7" ht="15.75" customHeight="1" x14ac:dyDescent="0.3">
      <c r="A3" s="74" t="s">
        <v>5</v>
      </c>
      <c r="B3" s="74"/>
      <c r="C3" s="74"/>
      <c r="D3" s="74"/>
      <c r="E3" s="74"/>
      <c r="F3" s="74"/>
    </row>
    <row r="6" spans="1:7" x14ac:dyDescent="0.3">
      <c r="A6" s="9" t="s">
        <v>6</v>
      </c>
      <c r="B6" s="9" t="s">
        <v>7</v>
      </c>
      <c r="C6" s="9" t="s">
        <v>8</v>
      </c>
      <c r="D6" s="9" t="s">
        <v>9</v>
      </c>
      <c r="E6" s="9" t="s">
        <v>10</v>
      </c>
      <c r="F6" s="9" t="s">
        <v>11</v>
      </c>
    </row>
    <row r="7" spans="1:7" x14ac:dyDescent="0.3">
      <c r="A7" s="10">
        <v>40269</v>
      </c>
      <c r="B7" s="21">
        <v>25349036</v>
      </c>
      <c r="C7" s="21">
        <v>19020118</v>
      </c>
      <c r="D7" s="21">
        <v>69837544</v>
      </c>
      <c r="E7" s="21">
        <v>1015761920</v>
      </c>
      <c r="F7" s="21"/>
    </row>
    <row r="8" spans="1:7" x14ac:dyDescent="0.3">
      <c r="A8" s="10">
        <v>40299</v>
      </c>
      <c r="B8" s="21">
        <v>28001532</v>
      </c>
      <c r="C8" s="21">
        <v>21096692</v>
      </c>
      <c r="D8" s="21">
        <v>75802128</v>
      </c>
      <c r="E8" s="21">
        <v>1061456128</v>
      </c>
      <c r="F8" s="21"/>
      <c r="G8" s="21"/>
    </row>
    <row r="9" spans="1:7" x14ac:dyDescent="0.3">
      <c r="A9" s="10">
        <v>40330</v>
      </c>
      <c r="B9" s="21">
        <v>30279004</v>
      </c>
      <c r="C9" s="21">
        <v>22496896</v>
      </c>
      <c r="D9" s="21">
        <v>86279520</v>
      </c>
      <c r="E9" s="21">
        <v>1265348480</v>
      </c>
      <c r="F9" s="21"/>
      <c r="G9" s="21"/>
    </row>
    <row r="10" spans="1:7" x14ac:dyDescent="0.3">
      <c r="A10" s="10">
        <v>40360</v>
      </c>
      <c r="B10" s="21">
        <v>33237588</v>
      </c>
      <c r="C10" s="21">
        <v>24571154</v>
      </c>
      <c r="D10" s="21">
        <v>96291688</v>
      </c>
      <c r="E10" s="21">
        <v>1470884480</v>
      </c>
      <c r="F10" s="21"/>
      <c r="G10" s="21"/>
    </row>
    <row r="11" spans="1:7" x14ac:dyDescent="0.3">
      <c r="A11" s="10">
        <v>40391</v>
      </c>
      <c r="B11" s="21">
        <v>37326484</v>
      </c>
      <c r="C11" s="21">
        <v>27744680</v>
      </c>
      <c r="D11" s="21">
        <v>105718912</v>
      </c>
      <c r="E11" s="21">
        <v>1664430976</v>
      </c>
      <c r="F11" s="21"/>
      <c r="G11" s="21"/>
    </row>
    <row r="12" spans="1:7" x14ac:dyDescent="0.3">
      <c r="A12" s="10">
        <v>40422</v>
      </c>
      <c r="B12" s="21">
        <v>40863800</v>
      </c>
      <c r="C12" s="21">
        <v>30076088</v>
      </c>
      <c r="D12" s="21">
        <v>119718336</v>
      </c>
      <c r="E12" s="21">
        <v>1854833792</v>
      </c>
      <c r="F12" s="21"/>
      <c r="G12" s="21"/>
    </row>
    <row r="13" spans="1:7" x14ac:dyDescent="0.3">
      <c r="A13" s="10">
        <v>40452</v>
      </c>
      <c r="B13" s="21">
        <v>43169608</v>
      </c>
      <c r="C13" s="21">
        <v>31175164</v>
      </c>
      <c r="D13" s="21">
        <v>134986816</v>
      </c>
      <c r="E13" s="21">
        <v>2291991808</v>
      </c>
      <c r="F13" s="21"/>
      <c r="G13" s="21"/>
    </row>
    <row r="14" spans="1:7" x14ac:dyDescent="0.3">
      <c r="A14" s="10">
        <v>40483</v>
      </c>
      <c r="B14" s="21">
        <v>47188576</v>
      </c>
      <c r="C14" s="21">
        <v>33880472</v>
      </c>
      <c r="D14" s="21">
        <v>150272848</v>
      </c>
      <c r="E14" s="21">
        <v>2823663104</v>
      </c>
      <c r="F14" s="21"/>
      <c r="G14" s="21"/>
    </row>
    <row r="15" spans="1:7" x14ac:dyDescent="0.3">
      <c r="A15" s="10">
        <v>40513</v>
      </c>
      <c r="B15" s="21">
        <v>49037412</v>
      </c>
      <c r="C15" s="21">
        <v>34924704</v>
      </c>
      <c r="D15" s="21">
        <v>160452736</v>
      </c>
      <c r="E15" s="21">
        <v>3311109376</v>
      </c>
      <c r="F15" s="21"/>
      <c r="G15" s="21"/>
    </row>
    <row r="16" spans="1:7" x14ac:dyDescent="0.3">
      <c r="A16" s="10">
        <v>40544</v>
      </c>
      <c r="B16" s="21">
        <v>57963812</v>
      </c>
      <c r="C16" s="21">
        <v>41301888</v>
      </c>
      <c r="D16" s="21">
        <v>188368416</v>
      </c>
      <c r="E16" s="21">
        <v>4086928384</v>
      </c>
      <c r="F16" s="21"/>
      <c r="G16" s="21"/>
    </row>
    <row r="17" spans="1:7" x14ac:dyDescent="0.3">
      <c r="A17" s="10">
        <v>40575</v>
      </c>
      <c r="B17" s="21">
        <v>66005040</v>
      </c>
      <c r="C17" s="21">
        <v>47274360</v>
      </c>
      <c r="D17" s="21">
        <v>209648432</v>
      </c>
      <c r="E17" s="21">
        <v>4557380608</v>
      </c>
      <c r="F17" s="21"/>
      <c r="G17" s="21"/>
    </row>
    <row r="18" spans="1:7" x14ac:dyDescent="0.3">
      <c r="A18" s="10">
        <v>40603</v>
      </c>
      <c r="B18" s="21">
        <v>71810592</v>
      </c>
      <c r="C18" s="21">
        <v>51564920</v>
      </c>
      <c r="D18" s="21">
        <v>225196544</v>
      </c>
      <c r="E18" s="21">
        <v>4985839616</v>
      </c>
      <c r="F18" s="21"/>
      <c r="G18" s="21"/>
    </row>
    <row r="19" spans="1:7" x14ac:dyDescent="0.3">
      <c r="A19" s="10">
        <v>40634</v>
      </c>
      <c r="B19" s="21">
        <v>81144880</v>
      </c>
      <c r="C19" s="21">
        <v>58317276</v>
      </c>
      <c r="D19" s="21">
        <v>252242864</v>
      </c>
      <c r="E19" s="21">
        <v>6072128512</v>
      </c>
      <c r="F19" s="21"/>
      <c r="G19" s="21"/>
    </row>
    <row r="20" spans="1:7" x14ac:dyDescent="0.3">
      <c r="A20" s="10">
        <v>40664</v>
      </c>
      <c r="B20" s="21">
        <v>86220960</v>
      </c>
      <c r="C20" s="21">
        <v>61791824</v>
      </c>
      <c r="D20" s="21">
        <v>269872768</v>
      </c>
      <c r="E20" s="21">
        <v>6633003520</v>
      </c>
      <c r="F20" s="21"/>
      <c r="G20" s="21"/>
    </row>
    <row r="21" spans="1:7" x14ac:dyDescent="0.3">
      <c r="A21" s="10">
        <v>40695</v>
      </c>
      <c r="B21" s="21">
        <v>92864688</v>
      </c>
      <c r="C21" s="21">
        <v>65738312</v>
      </c>
      <c r="D21" s="21">
        <v>302446528</v>
      </c>
      <c r="E21" s="21">
        <v>8395395584</v>
      </c>
      <c r="F21" s="21"/>
      <c r="G21" s="21"/>
    </row>
    <row r="22" spans="1:7" x14ac:dyDescent="0.3">
      <c r="A22" s="10">
        <v>40725</v>
      </c>
      <c r="B22" s="21">
        <v>96766816</v>
      </c>
      <c r="C22" s="21">
        <v>68923552</v>
      </c>
      <c r="D22" s="21">
        <v>307647744</v>
      </c>
      <c r="E22" s="21">
        <v>11171966976</v>
      </c>
      <c r="F22" s="21"/>
      <c r="G22" s="21"/>
    </row>
    <row r="23" spans="1:7" x14ac:dyDescent="0.3">
      <c r="A23" s="10">
        <v>40756</v>
      </c>
      <c r="B23" s="21">
        <v>102736800</v>
      </c>
      <c r="C23" s="21">
        <v>72821928</v>
      </c>
      <c r="D23" s="21">
        <v>331085056</v>
      </c>
      <c r="E23" s="21">
        <v>11710914560</v>
      </c>
      <c r="F23" s="21"/>
      <c r="G23" s="21"/>
    </row>
    <row r="24" spans="1:7" x14ac:dyDescent="0.3">
      <c r="A24" s="10">
        <v>40787</v>
      </c>
      <c r="B24" s="21">
        <v>103348104</v>
      </c>
      <c r="C24" s="21">
        <v>73609824</v>
      </c>
      <c r="D24" s="21">
        <v>327252672</v>
      </c>
      <c r="E24" s="21">
        <v>11661173760</v>
      </c>
      <c r="F24" s="21"/>
      <c r="G24" s="21"/>
    </row>
    <row r="25" spans="1:7" x14ac:dyDescent="0.3">
      <c r="A25" s="10">
        <v>40817</v>
      </c>
      <c r="B25" s="21">
        <v>108685128</v>
      </c>
      <c r="C25" s="21">
        <v>78024504</v>
      </c>
      <c r="D25" s="21">
        <v>333555968</v>
      </c>
      <c r="E25" s="21">
        <v>12117823488</v>
      </c>
      <c r="F25" s="21"/>
      <c r="G25" s="21"/>
    </row>
    <row r="26" spans="1:7" x14ac:dyDescent="0.3">
      <c r="A26" s="10">
        <v>40848</v>
      </c>
      <c r="B26" s="21">
        <v>115729016</v>
      </c>
      <c r="C26" s="21">
        <v>82445192</v>
      </c>
      <c r="D26" s="21">
        <v>363336992</v>
      </c>
      <c r="E26" s="21">
        <v>13037852672</v>
      </c>
      <c r="F26" s="21">
        <v>8937000</v>
      </c>
      <c r="G26" s="21"/>
    </row>
    <row r="27" spans="1:7" x14ac:dyDescent="0.3">
      <c r="A27" s="10">
        <v>40878</v>
      </c>
      <c r="B27" s="21">
        <v>128263416</v>
      </c>
      <c r="C27" s="21">
        <v>92087096</v>
      </c>
      <c r="D27" s="21">
        <v>388764448</v>
      </c>
      <c r="E27" s="21">
        <v>14020779008</v>
      </c>
      <c r="F27" s="21">
        <v>11940532</v>
      </c>
      <c r="G27" s="21"/>
    </row>
    <row r="28" spans="1:7" x14ac:dyDescent="0.3">
      <c r="A28" s="10">
        <v>40909</v>
      </c>
      <c r="B28" s="21">
        <v>141254192</v>
      </c>
      <c r="C28" s="21">
        <v>102296752</v>
      </c>
      <c r="D28" s="21">
        <v>411443200</v>
      </c>
      <c r="E28" s="21">
        <v>15470049280</v>
      </c>
      <c r="F28" s="21">
        <v>13382846</v>
      </c>
      <c r="G28" s="21"/>
    </row>
    <row r="29" spans="1:7" x14ac:dyDescent="0.3">
      <c r="A29" s="10">
        <v>40940</v>
      </c>
      <c r="B29" s="21">
        <v>150845248</v>
      </c>
      <c r="C29" s="21">
        <v>109841544</v>
      </c>
      <c r="D29" s="21">
        <v>427660064</v>
      </c>
      <c r="E29" s="21">
        <v>15600432128</v>
      </c>
      <c r="F29" s="21">
        <v>14279108</v>
      </c>
      <c r="G29" s="21"/>
    </row>
    <row r="30" spans="1:7" x14ac:dyDescent="0.3">
      <c r="A30" s="10">
        <v>40969</v>
      </c>
      <c r="B30" s="21">
        <v>144538016</v>
      </c>
      <c r="C30" s="21">
        <v>104106168</v>
      </c>
      <c r="D30" s="21">
        <v>428548096</v>
      </c>
      <c r="E30" s="21">
        <v>14919027712</v>
      </c>
      <c r="F30" s="21">
        <v>14945914</v>
      </c>
      <c r="G30" s="21"/>
    </row>
    <row r="31" spans="1:7" x14ac:dyDescent="0.3">
      <c r="A31" s="10">
        <v>41000</v>
      </c>
      <c r="B31" s="21">
        <v>159860096</v>
      </c>
      <c r="C31" s="21">
        <v>115758448</v>
      </c>
      <c r="D31" s="21">
        <v>459963648</v>
      </c>
      <c r="E31" s="21">
        <v>16286919680</v>
      </c>
      <c r="F31" s="21">
        <v>17206288</v>
      </c>
      <c r="G31" s="21"/>
    </row>
    <row r="32" spans="1:7" x14ac:dyDescent="0.3">
      <c r="A32" s="10">
        <v>41030</v>
      </c>
      <c r="B32" s="21">
        <v>157223536</v>
      </c>
      <c r="C32" s="21">
        <v>113899360</v>
      </c>
      <c r="D32" s="21">
        <v>452455072</v>
      </c>
      <c r="E32" s="21">
        <v>14786557952</v>
      </c>
      <c r="F32" s="21">
        <v>16491142</v>
      </c>
      <c r="G32" s="21"/>
    </row>
    <row r="33" spans="1:9" x14ac:dyDescent="0.3">
      <c r="A33" s="10">
        <v>41061</v>
      </c>
      <c r="B33" s="21">
        <v>150399104</v>
      </c>
      <c r="C33" s="21">
        <v>108543472</v>
      </c>
      <c r="D33" s="21">
        <v>440980480</v>
      </c>
      <c r="E33" s="21">
        <v>15352449024</v>
      </c>
      <c r="F33" s="21">
        <v>15773518</v>
      </c>
      <c r="G33" s="21"/>
    </row>
    <row r="34" spans="1:9" x14ac:dyDescent="0.3">
      <c r="A34" s="10">
        <v>41091</v>
      </c>
      <c r="B34" s="21">
        <v>156465760</v>
      </c>
      <c r="C34" s="21">
        <v>112769072</v>
      </c>
      <c r="D34" s="21">
        <v>459181536</v>
      </c>
      <c r="E34" s="21">
        <v>15903661056</v>
      </c>
      <c r="F34" s="21">
        <v>19840210</v>
      </c>
      <c r="G34" s="21"/>
    </row>
    <row r="35" spans="1:9" x14ac:dyDescent="0.3">
      <c r="A35" s="10">
        <v>41122</v>
      </c>
      <c r="B35" s="21">
        <v>166808528</v>
      </c>
      <c r="C35" s="21">
        <v>120256160</v>
      </c>
      <c r="D35" s="21">
        <v>485624512</v>
      </c>
      <c r="E35" s="21">
        <v>14668607488</v>
      </c>
      <c r="F35" s="21">
        <v>22140054</v>
      </c>
      <c r="G35" s="21"/>
    </row>
    <row r="36" spans="1:9" x14ac:dyDescent="0.3">
      <c r="A36" s="10">
        <v>41153</v>
      </c>
      <c r="B36" s="21">
        <v>172062880</v>
      </c>
      <c r="C36" s="21">
        <v>124390192</v>
      </c>
      <c r="D36" s="21">
        <v>493932928</v>
      </c>
      <c r="E36" s="21">
        <v>13998592000</v>
      </c>
      <c r="F36" s="21">
        <v>26643136</v>
      </c>
      <c r="G36" s="21"/>
    </row>
    <row r="37" spans="1:9" x14ac:dyDescent="0.3">
      <c r="A37" s="10">
        <v>41183</v>
      </c>
      <c r="B37" s="21">
        <v>184667216</v>
      </c>
      <c r="C37" s="21">
        <v>134480224</v>
      </c>
      <c r="D37" s="21">
        <v>510799456</v>
      </c>
      <c r="E37" s="21">
        <v>15234562048</v>
      </c>
      <c r="F37" s="21">
        <v>29179220</v>
      </c>
      <c r="G37" s="21"/>
    </row>
    <row r="38" spans="1:9" x14ac:dyDescent="0.3">
      <c r="A38" s="10">
        <v>41214</v>
      </c>
      <c r="B38" s="21">
        <v>201892656</v>
      </c>
      <c r="C38" s="21">
        <v>147525568</v>
      </c>
      <c r="D38" s="21">
        <v>543773824</v>
      </c>
      <c r="E38" s="21">
        <v>16674483200</v>
      </c>
      <c r="F38" s="21">
        <v>31805100</v>
      </c>
      <c r="G38" s="21"/>
    </row>
    <row r="39" spans="1:9" x14ac:dyDescent="0.3">
      <c r="A39" s="10">
        <v>41244</v>
      </c>
      <c r="B39" s="21">
        <v>197982400</v>
      </c>
      <c r="C39" s="21">
        <v>145602464</v>
      </c>
      <c r="D39" s="21">
        <v>521876704</v>
      </c>
      <c r="E39" s="21">
        <v>16516643840</v>
      </c>
      <c r="F39" s="21">
        <v>35192792</v>
      </c>
      <c r="G39" s="21"/>
    </row>
    <row r="40" spans="1:9" x14ac:dyDescent="0.3">
      <c r="A40" s="10">
        <v>41275</v>
      </c>
      <c r="B40" s="21">
        <v>200280768</v>
      </c>
      <c r="C40" s="21">
        <v>146146144</v>
      </c>
      <c r="D40" s="21">
        <v>543114240</v>
      </c>
      <c r="E40" s="21">
        <v>16718012416</v>
      </c>
      <c r="F40" s="21">
        <v>39517752</v>
      </c>
      <c r="G40" s="21"/>
    </row>
    <row r="41" spans="1:9" x14ac:dyDescent="0.3">
      <c r="A41" s="10">
        <v>41306</v>
      </c>
      <c r="B41" s="21">
        <v>188579824</v>
      </c>
      <c r="C41" s="21">
        <v>140544144</v>
      </c>
      <c r="D41" s="21">
        <v>475777344</v>
      </c>
      <c r="E41" s="21">
        <v>14677705728</v>
      </c>
      <c r="F41" s="21">
        <v>38900468</v>
      </c>
      <c r="G41" s="21"/>
    </row>
    <row r="42" spans="1:9" x14ac:dyDescent="0.3">
      <c r="A42" s="10">
        <v>41334</v>
      </c>
      <c r="B42" s="21">
        <v>184908016</v>
      </c>
      <c r="C42" s="21">
        <v>136447584</v>
      </c>
      <c r="D42" s="21">
        <v>485839744</v>
      </c>
      <c r="E42" s="21">
        <v>13837069312</v>
      </c>
      <c r="F42" s="21">
        <v>34973080</v>
      </c>
      <c r="G42" s="21"/>
    </row>
    <row r="43" spans="1:9" x14ac:dyDescent="0.3">
      <c r="A43" s="10">
        <v>41365</v>
      </c>
      <c r="B43" s="21">
        <v>191476128</v>
      </c>
      <c r="C43" s="21">
        <v>138832112</v>
      </c>
      <c r="D43" s="21">
        <v>536019584</v>
      </c>
      <c r="E43" s="21">
        <v>12958793728</v>
      </c>
      <c r="F43" s="21">
        <v>38361680</v>
      </c>
      <c r="G43" s="21"/>
    </row>
    <row r="44" spans="1:9" x14ac:dyDescent="0.3">
      <c r="A44" s="10">
        <v>41395</v>
      </c>
      <c r="B44" s="21">
        <v>186668560</v>
      </c>
      <c r="C44" s="21">
        <v>136477904</v>
      </c>
      <c r="D44" s="21">
        <v>507532928</v>
      </c>
      <c r="E44" s="21">
        <v>13379749888</v>
      </c>
      <c r="F44" s="21">
        <v>36820980</v>
      </c>
      <c r="G44" s="21"/>
      <c r="H44" s="1"/>
      <c r="I44" s="21"/>
    </row>
    <row r="45" spans="1:9" x14ac:dyDescent="0.3">
      <c r="A45" s="6"/>
      <c r="B45" s="6"/>
      <c r="C45" s="21"/>
      <c r="D45" s="6"/>
      <c r="E45" s="6"/>
      <c r="F45" s="6"/>
    </row>
    <row r="46" spans="1:9" x14ac:dyDescent="0.3">
      <c r="A46" s="6" t="s">
        <v>12</v>
      </c>
      <c r="B46" s="6"/>
      <c r="C46" s="6"/>
      <c r="D46" s="6"/>
      <c r="E46" s="6"/>
      <c r="F46" s="6"/>
    </row>
    <row r="47" spans="1:9" x14ac:dyDescent="0.3">
      <c r="A47" s="6" t="s">
        <v>13</v>
      </c>
      <c r="B47" s="6"/>
      <c r="C47" s="6"/>
      <c r="D47" s="6"/>
      <c r="E47" s="6"/>
      <c r="F47" s="6"/>
    </row>
    <row r="48" spans="1:9" x14ac:dyDescent="0.3">
      <c r="A48" s="6" t="s">
        <v>14</v>
      </c>
      <c r="B48" s="6"/>
      <c r="C48" s="6"/>
      <c r="D48" s="6"/>
      <c r="E48" s="6"/>
      <c r="F48" s="6"/>
    </row>
    <row r="49" spans="1:7" x14ac:dyDescent="0.3">
      <c r="A49" s="6" t="s">
        <v>15</v>
      </c>
      <c r="B49" s="6"/>
      <c r="C49" s="6"/>
      <c r="D49" s="6"/>
      <c r="E49" s="6"/>
      <c r="F49" s="6"/>
    </row>
    <row r="50" spans="1:7" x14ac:dyDescent="0.3">
      <c r="A50" s="6"/>
      <c r="B50" s="6"/>
      <c r="C50" s="6"/>
      <c r="D50" s="6"/>
      <c r="E50" s="6"/>
      <c r="F50" s="6"/>
    </row>
    <row r="51" spans="1:7" x14ac:dyDescent="0.3">
      <c r="A51" s="6" t="s">
        <v>16</v>
      </c>
      <c r="B51" s="50"/>
      <c r="C51" s="50"/>
      <c r="D51" s="50"/>
      <c r="E51" s="50"/>
      <c r="F51" s="50"/>
      <c r="G51" s="50"/>
    </row>
    <row r="52" spans="1:7" x14ac:dyDescent="0.3">
      <c r="A52" s="49"/>
    </row>
    <row r="53" spans="1:7" x14ac:dyDescent="0.3">
      <c r="A53" s="13"/>
      <c r="B53" s="6"/>
      <c r="C53" s="6"/>
      <c r="D53" s="6"/>
      <c r="E53" s="6"/>
      <c r="F53" s="6"/>
    </row>
    <row r="54" spans="1:7" x14ac:dyDescent="0.3">
      <c r="A54" s="6"/>
    </row>
    <row r="55" spans="1:7" x14ac:dyDescent="0.3">
      <c r="A55" s="6"/>
    </row>
    <row r="56" spans="1:7" x14ac:dyDescent="0.3">
      <c r="A56" s="6"/>
    </row>
    <row r="57" spans="1:7" x14ac:dyDescent="0.3">
      <c r="A57" s="6"/>
    </row>
    <row r="58" spans="1:7" x14ac:dyDescent="0.3">
      <c r="A58" s="6"/>
    </row>
  </sheetData>
  <mergeCells count="3">
    <mergeCell ref="A1:F1"/>
    <mergeCell ref="A2:F2"/>
    <mergeCell ref="A3:F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"/>
  <sheetViews>
    <sheetView showGridLines="0" workbookViewId="0">
      <selection activeCell="A6" sqref="A6:B17"/>
    </sheetView>
  </sheetViews>
  <sheetFormatPr defaultRowHeight="14.4" x14ac:dyDescent="0.3"/>
  <cols>
    <col min="2" max="2" width="10.88671875" bestFit="1" customWidth="1"/>
  </cols>
  <sheetData>
    <row r="1" spans="1:6" ht="15.6" x14ac:dyDescent="0.3">
      <c r="A1" s="74" t="s">
        <v>17</v>
      </c>
      <c r="B1" s="74"/>
      <c r="C1" s="74"/>
      <c r="D1" s="74"/>
      <c r="E1" s="74"/>
      <c r="F1" s="74"/>
    </row>
    <row r="2" spans="1:6" ht="15.6" x14ac:dyDescent="0.3">
      <c r="A2" s="75" t="s">
        <v>4</v>
      </c>
      <c r="B2" s="75"/>
      <c r="C2" s="75"/>
      <c r="D2" s="75"/>
      <c r="E2" s="75"/>
      <c r="F2" s="75"/>
    </row>
    <row r="3" spans="1:6" ht="15.6" x14ac:dyDescent="0.3">
      <c r="A3" s="74" t="s">
        <v>18</v>
      </c>
      <c r="B3" s="74"/>
      <c r="C3" s="74"/>
      <c r="D3" s="74"/>
      <c r="E3" s="74"/>
      <c r="F3" s="74"/>
    </row>
    <row r="6" spans="1:6" x14ac:dyDescent="0.3">
      <c r="A6" s="9" t="s">
        <v>6</v>
      </c>
      <c r="B6" s="9" t="s">
        <v>8</v>
      </c>
    </row>
    <row r="7" spans="1:6" x14ac:dyDescent="0.3">
      <c r="A7" s="10">
        <v>41091</v>
      </c>
      <c r="B7" s="40">
        <v>145777103</v>
      </c>
    </row>
    <row r="8" spans="1:6" x14ac:dyDescent="0.3">
      <c r="A8" s="10">
        <v>41122</v>
      </c>
      <c r="B8" s="40">
        <v>139508214</v>
      </c>
    </row>
    <row r="9" spans="1:6" x14ac:dyDescent="0.3">
      <c r="A9" s="10">
        <v>41153</v>
      </c>
      <c r="B9" s="40">
        <v>141196660</v>
      </c>
    </row>
    <row r="10" spans="1:6" x14ac:dyDescent="0.3">
      <c r="A10" s="10">
        <v>41183</v>
      </c>
      <c r="B10" s="40">
        <v>137726205</v>
      </c>
    </row>
    <row r="11" spans="1:6" x14ac:dyDescent="0.3">
      <c r="A11" s="10">
        <v>41214</v>
      </c>
      <c r="B11" s="40">
        <v>139210657</v>
      </c>
    </row>
    <row r="12" spans="1:6" x14ac:dyDescent="0.3">
      <c r="A12" s="10">
        <v>41244</v>
      </c>
      <c r="B12" s="40">
        <v>148516293</v>
      </c>
    </row>
    <row r="13" spans="1:6" x14ac:dyDescent="0.3">
      <c r="A13" s="10">
        <v>41275</v>
      </c>
      <c r="B13" s="40">
        <v>147933108</v>
      </c>
    </row>
    <row r="14" spans="1:6" x14ac:dyDescent="0.3">
      <c r="A14" s="10">
        <v>41306</v>
      </c>
      <c r="B14" s="40">
        <v>140478327</v>
      </c>
    </row>
    <row r="15" spans="1:6" x14ac:dyDescent="0.3">
      <c r="A15" s="10">
        <v>41334</v>
      </c>
      <c r="B15" s="40">
        <v>136060033</v>
      </c>
    </row>
    <row r="16" spans="1:6" x14ac:dyDescent="0.3">
      <c r="A16" s="10">
        <v>41365</v>
      </c>
      <c r="B16" s="40">
        <v>135590141</v>
      </c>
    </row>
    <row r="17" spans="1:2" x14ac:dyDescent="0.3">
      <c r="A17" s="10">
        <v>41395</v>
      </c>
      <c r="B17" s="40">
        <v>136019729</v>
      </c>
    </row>
    <row r="19" spans="1:2" x14ac:dyDescent="0.3">
      <c r="A19" s="6" t="s">
        <v>19</v>
      </c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6"/>
  <sheetViews>
    <sheetView showGridLines="0" workbookViewId="0">
      <selection activeCell="C5" sqref="C5"/>
    </sheetView>
  </sheetViews>
  <sheetFormatPr defaultRowHeight="14.4" x14ac:dyDescent="0.3"/>
  <cols>
    <col min="1" max="6" width="12" customWidth="1"/>
  </cols>
  <sheetData>
    <row r="1" spans="1:6" ht="15.6" x14ac:dyDescent="0.3">
      <c r="A1" s="74" t="s">
        <v>20</v>
      </c>
      <c r="B1" s="74"/>
      <c r="C1" s="74"/>
      <c r="D1" s="74"/>
      <c r="E1" s="74"/>
      <c r="F1" s="74"/>
    </row>
    <row r="2" spans="1:6" ht="15.6" x14ac:dyDescent="0.3">
      <c r="A2" s="75" t="s">
        <v>4</v>
      </c>
      <c r="B2" s="75"/>
      <c r="C2" s="75"/>
      <c r="D2" s="75"/>
      <c r="E2" s="75"/>
      <c r="F2" s="75"/>
    </row>
    <row r="3" spans="1:6" ht="15.6" x14ac:dyDescent="0.3">
      <c r="A3" s="74" t="s">
        <v>21</v>
      </c>
      <c r="B3" s="74"/>
      <c r="C3" s="74"/>
      <c r="D3" s="74"/>
      <c r="E3" s="74"/>
      <c r="F3" s="74"/>
    </row>
    <row r="6" spans="1:6" x14ac:dyDescent="0.3">
      <c r="A6" s="9" t="s">
        <v>6</v>
      </c>
      <c r="B6" s="9" t="s">
        <v>7</v>
      </c>
      <c r="C6" s="9" t="s">
        <v>8</v>
      </c>
      <c r="D6" s="9" t="s">
        <v>9</v>
      </c>
      <c r="E6" s="9" t="s">
        <v>10</v>
      </c>
      <c r="F6" s="9" t="s">
        <v>11</v>
      </c>
    </row>
    <row r="7" spans="1:6" x14ac:dyDescent="0.3">
      <c r="A7" s="10">
        <v>40269</v>
      </c>
      <c r="B7" s="40">
        <v>11747588</v>
      </c>
      <c r="C7" s="40">
        <v>8600926</v>
      </c>
      <c r="D7" s="40">
        <v>34796176</v>
      </c>
      <c r="E7" s="40">
        <v>532647872</v>
      </c>
      <c r="F7" s="11"/>
    </row>
    <row r="8" spans="1:6" x14ac:dyDescent="0.3">
      <c r="A8" s="10">
        <v>40299</v>
      </c>
      <c r="B8" s="40">
        <v>12914020</v>
      </c>
      <c r="C8" s="40">
        <v>9512435</v>
      </c>
      <c r="D8" s="40">
        <v>37296948</v>
      </c>
      <c r="E8" s="40">
        <v>540280000</v>
      </c>
      <c r="F8" s="11"/>
    </row>
    <row r="9" spans="1:6" x14ac:dyDescent="0.3">
      <c r="A9" s="10">
        <v>40330</v>
      </c>
      <c r="B9" s="40">
        <v>14354238</v>
      </c>
      <c r="C9" s="40">
        <v>10510566</v>
      </c>
      <c r="D9" s="40">
        <v>42186288</v>
      </c>
      <c r="E9" s="40">
        <v>654634432</v>
      </c>
      <c r="F9" s="11"/>
    </row>
    <row r="10" spans="1:6" x14ac:dyDescent="0.3">
      <c r="A10" s="10">
        <v>40360</v>
      </c>
      <c r="B10" s="40">
        <v>15894178</v>
      </c>
      <c r="C10" s="40">
        <v>11502011</v>
      </c>
      <c r="D10" s="40">
        <v>48489672</v>
      </c>
      <c r="E10" s="40">
        <v>796054976</v>
      </c>
      <c r="F10" s="11"/>
    </row>
    <row r="11" spans="1:6" x14ac:dyDescent="0.3">
      <c r="A11" s="10">
        <v>40391</v>
      </c>
      <c r="B11" s="40">
        <v>17272078</v>
      </c>
      <c r="C11" s="40">
        <v>12490288</v>
      </c>
      <c r="D11" s="40">
        <v>52623392</v>
      </c>
      <c r="E11" s="40">
        <v>890989632</v>
      </c>
      <c r="F11" s="11"/>
    </row>
    <row r="12" spans="1:6" x14ac:dyDescent="0.3">
      <c r="A12" s="10">
        <v>40422</v>
      </c>
      <c r="B12" s="40">
        <v>17885260</v>
      </c>
      <c r="C12" s="40">
        <v>12697970</v>
      </c>
      <c r="D12" s="40">
        <v>58042416</v>
      </c>
      <c r="E12" s="40">
        <v>949975680</v>
      </c>
      <c r="F12" s="11"/>
    </row>
    <row r="13" spans="1:6" x14ac:dyDescent="0.3">
      <c r="A13" s="10">
        <v>40452</v>
      </c>
      <c r="B13" s="40">
        <v>19543620</v>
      </c>
      <c r="C13" s="40">
        <v>13682499</v>
      </c>
      <c r="D13" s="40">
        <v>66247812</v>
      </c>
      <c r="E13" s="40">
        <v>1152758272</v>
      </c>
      <c r="F13" s="11"/>
    </row>
    <row r="14" spans="1:6" x14ac:dyDescent="0.3">
      <c r="A14" s="10">
        <v>40483</v>
      </c>
      <c r="B14" s="40">
        <v>21255462</v>
      </c>
      <c r="C14" s="40">
        <v>14876519</v>
      </c>
      <c r="D14" s="40">
        <v>71802024</v>
      </c>
      <c r="E14" s="40">
        <v>1447996160</v>
      </c>
      <c r="F14" s="11"/>
    </row>
    <row r="15" spans="1:6" x14ac:dyDescent="0.3">
      <c r="A15" s="10">
        <v>40513</v>
      </c>
      <c r="B15" s="40">
        <v>22123400</v>
      </c>
      <c r="C15" s="40">
        <v>15356831</v>
      </c>
      <c r="D15" s="40">
        <v>76648040</v>
      </c>
      <c r="E15" s="40">
        <v>1690287104</v>
      </c>
      <c r="F15" s="11"/>
    </row>
    <row r="16" spans="1:6" x14ac:dyDescent="0.3">
      <c r="A16" s="10">
        <v>40544</v>
      </c>
      <c r="B16" s="40">
        <v>25477372</v>
      </c>
      <c r="C16" s="40">
        <v>17550350</v>
      </c>
      <c r="D16" s="40">
        <v>89743976</v>
      </c>
      <c r="E16" s="40">
        <v>2118378496</v>
      </c>
      <c r="F16" s="11"/>
    </row>
    <row r="17" spans="1:6" x14ac:dyDescent="0.3">
      <c r="A17" s="10">
        <v>40575</v>
      </c>
      <c r="B17" s="40">
        <v>28364152</v>
      </c>
      <c r="C17" s="40">
        <v>19523976</v>
      </c>
      <c r="D17" s="40">
        <v>99431752</v>
      </c>
      <c r="E17" s="40">
        <v>2301165568</v>
      </c>
      <c r="F17" s="11"/>
    </row>
    <row r="18" spans="1:6" x14ac:dyDescent="0.3">
      <c r="A18" s="10">
        <v>40603</v>
      </c>
      <c r="B18" s="40">
        <v>29950706</v>
      </c>
      <c r="C18" s="40">
        <v>20740012</v>
      </c>
      <c r="D18" s="40">
        <v>102498712</v>
      </c>
      <c r="E18" s="40">
        <v>2364452352</v>
      </c>
      <c r="F18" s="11"/>
    </row>
    <row r="19" spans="1:6" x14ac:dyDescent="0.3">
      <c r="A19" s="10">
        <v>40634</v>
      </c>
      <c r="B19" s="40">
        <v>34169012</v>
      </c>
      <c r="C19" s="40">
        <v>23773100</v>
      </c>
      <c r="D19" s="40">
        <v>113756472</v>
      </c>
      <c r="E19" s="40">
        <v>2810123008</v>
      </c>
      <c r="F19" s="11"/>
    </row>
    <row r="20" spans="1:6" x14ac:dyDescent="0.3">
      <c r="A20" s="10">
        <v>40664</v>
      </c>
      <c r="B20" s="40">
        <v>36050592</v>
      </c>
      <c r="C20" s="40">
        <v>25171076</v>
      </c>
      <c r="D20" s="40">
        <v>117920304</v>
      </c>
      <c r="E20" s="40">
        <v>2968192000</v>
      </c>
      <c r="F20" s="11"/>
    </row>
    <row r="21" spans="1:6" x14ac:dyDescent="0.3">
      <c r="A21" s="10">
        <v>40695</v>
      </c>
      <c r="B21" s="40">
        <v>40038036</v>
      </c>
      <c r="C21" s="40">
        <v>27704266</v>
      </c>
      <c r="D21" s="40">
        <v>133635544</v>
      </c>
      <c r="E21" s="40">
        <v>3952461312</v>
      </c>
      <c r="F21" s="11"/>
    </row>
    <row r="22" spans="1:6" x14ac:dyDescent="0.3">
      <c r="A22" s="10">
        <v>40725</v>
      </c>
      <c r="B22" s="40">
        <v>40949852</v>
      </c>
      <c r="C22" s="40">
        <v>28396444</v>
      </c>
      <c r="D22" s="40">
        <v>135301744</v>
      </c>
      <c r="E22" s="40">
        <v>5467986944</v>
      </c>
      <c r="F22" s="11"/>
    </row>
    <row r="23" spans="1:6" x14ac:dyDescent="0.3">
      <c r="A23" s="10">
        <v>40756</v>
      </c>
      <c r="B23" s="40">
        <v>44451040</v>
      </c>
      <c r="C23" s="40">
        <v>30696310</v>
      </c>
      <c r="D23" s="40">
        <v>147535040</v>
      </c>
      <c r="E23" s="40">
        <v>5917330432</v>
      </c>
      <c r="F23" s="11"/>
    </row>
    <row r="24" spans="1:6" x14ac:dyDescent="0.3">
      <c r="A24" s="10">
        <v>40787</v>
      </c>
      <c r="B24" s="40">
        <v>42893172</v>
      </c>
      <c r="C24" s="40">
        <v>29613140</v>
      </c>
      <c r="D24" s="40">
        <v>143125744</v>
      </c>
      <c r="E24" s="40">
        <v>5623397888</v>
      </c>
      <c r="F24" s="11"/>
    </row>
    <row r="25" spans="1:6" x14ac:dyDescent="0.3">
      <c r="A25" s="10">
        <v>40817</v>
      </c>
      <c r="B25" s="40">
        <v>46817692</v>
      </c>
      <c r="C25" s="40">
        <v>32875280</v>
      </c>
      <c r="D25" s="40">
        <v>145261392</v>
      </c>
      <c r="E25" s="40">
        <v>5818850816</v>
      </c>
      <c r="F25" s="40"/>
    </row>
    <row r="26" spans="1:6" x14ac:dyDescent="0.3">
      <c r="A26" s="10">
        <v>40848</v>
      </c>
      <c r="B26" s="40">
        <v>49344704</v>
      </c>
      <c r="C26" s="40">
        <v>34233752</v>
      </c>
      <c r="D26" s="40">
        <v>158779904</v>
      </c>
      <c r="E26" s="40">
        <v>6554800640</v>
      </c>
      <c r="F26" s="40">
        <v>4943055</v>
      </c>
    </row>
    <row r="27" spans="1:6" x14ac:dyDescent="0.3">
      <c r="A27" s="10">
        <v>40878</v>
      </c>
      <c r="B27" s="40">
        <v>57633760</v>
      </c>
      <c r="C27" s="40">
        <v>40312588</v>
      </c>
      <c r="D27" s="40">
        <v>175415744</v>
      </c>
      <c r="E27" s="40">
        <v>7086670848</v>
      </c>
      <c r="F27" s="40">
        <v>6839828</v>
      </c>
    </row>
    <row r="28" spans="1:6" x14ac:dyDescent="0.3">
      <c r="A28" s="10">
        <v>40909</v>
      </c>
      <c r="B28" s="40">
        <v>61393312</v>
      </c>
      <c r="C28" s="40">
        <v>43024632</v>
      </c>
      <c r="D28" s="40">
        <v>183317312</v>
      </c>
      <c r="E28" s="40">
        <v>7819784192</v>
      </c>
      <c r="F28" s="40">
        <v>7277295</v>
      </c>
    </row>
    <row r="29" spans="1:6" x14ac:dyDescent="0.3">
      <c r="A29" s="10">
        <v>40940</v>
      </c>
      <c r="B29" s="40">
        <v>67097468</v>
      </c>
      <c r="C29" s="40">
        <v>47092508</v>
      </c>
      <c r="D29" s="40">
        <v>195438784</v>
      </c>
      <c r="E29" s="40">
        <v>7951558656</v>
      </c>
      <c r="F29" s="40">
        <v>7895209</v>
      </c>
    </row>
    <row r="30" spans="1:6" x14ac:dyDescent="0.3">
      <c r="A30" s="10">
        <v>40969</v>
      </c>
      <c r="B30" s="40">
        <v>63050392</v>
      </c>
      <c r="C30" s="40">
        <v>43849896</v>
      </c>
      <c r="D30" s="40">
        <v>192582272</v>
      </c>
      <c r="E30" s="40">
        <v>7478280704</v>
      </c>
      <c r="F30" s="40">
        <v>7844614</v>
      </c>
    </row>
    <row r="31" spans="1:6" x14ac:dyDescent="0.3">
      <c r="A31" s="10">
        <v>41000</v>
      </c>
      <c r="B31" s="40">
        <v>68296408</v>
      </c>
      <c r="C31" s="40">
        <v>47386080</v>
      </c>
      <c r="D31" s="40">
        <v>206870112</v>
      </c>
      <c r="E31" s="40">
        <v>8044654080</v>
      </c>
      <c r="F31" s="40">
        <v>9040642</v>
      </c>
    </row>
    <row r="32" spans="1:6" x14ac:dyDescent="0.3">
      <c r="A32" s="10">
        <v>41030</v>
      </c>
      <c r="B32" s="40">
        <v>64585808</v>
      </c>
      <c r="C32" s="40">
        <v>44912904</v>
      </c>
      <c r="D32" s="40">
        <v>196377040</v>
      </c>
      <c r="E32" s="40">
        <v>7095313920</v>
      </c>
      <c r="F32" s="40">
        <v>8086736</v>
      </c>
    </row>
    <row r="33" spans="1:6" x14ac:dyDescent="0.3">
      <c r="A33" s="10">
        <v>41061</v>
      </c>
      <c r="B33" s="40">
        <v>56125740</v>
      </c>
      <c r="C33" s="40">
        <v>38781812</v>
      </c>
      <c r="D33" s="40">
        <v>179469056</v>
      </c>
      <c r="E33" s="40">
        <v>7408085504</v>
      </c>
      <c r="F33" s="40">
        <v>7251678</v>
      </c>
    </row>
    <row r="34" spans="1:6" x14ac:dyDescent="0.3">
      <c r="A34" s="10">
        <v>41091</v>
      </c>
      <c r="B34" s="40">
        <v>58482312</v>
      </c>
      <c r="C34" s="40">
        <v>40276592</v>
      </c>
      <c r="D34" s="40">
        <v>187893504</v>
      </c>
      <c r="E34" s="40">
        <v>7788696576</v>
      </c>
      <c r="F34" s="40">
        <v>9483424</v>
      </c>
    </row>
    <row r="35" spans="1:6" x14ac:dyDescent="0.3">
      <c r="A35" s="10">
        <v>41122</v>
      </c>
      <c r="B35" s="40">
        <v>64687680</v>
      </c>
      <c r="C35" s="40">
        <v>44583532</v>
      </c>
      <c r="D35" s="40">
        <v>203155888</v>
      </c>
      <c r="E35" s="40">
        <v>7209520128</v>
      </c>
      <c r="F35" s="40">
        <v>11566846</v>
      </c>
    </row>
    <row r="36" spans="1:6" x14ac:dyDescent="0.3">
      <c r="A36" s="10">
        <v>41153</v>
      </c>
      <c r="B36" s="40">
        <v>64473264</v>
      </c>
      <c r="C36" s="40">
        <v>44356548</v>
      </c>
      <c r="D36" s="40">
        <v>203986736</v>
      </c>
      <c r="E36" s="40">
        <v>6655901184</v>
      </c>
      <c r="F36" s="40">
        <v>14002496</v>
      </c>
    </row>
    <row r="37" spans="1:6" x14ac:dyDescent="0.3">
      <c r="A37" s="10">
        <v>41183</v>
      </c>
      <c r="B37" s="40">
        <v>70097672</v>
      </c>
      <c r="C37" s="40">
        <v>48589760</v>
      </c>
      <c r="D37" s="40">
        <v>211806912</v>
      </c>
      <c r="E37" s="40">
        <v>6908087808</v>
      </c>
      <c r="F37" s="40">
        <v>15271290</v>
      </c>
    </row>
    <row r="38" spans="1:6" x14ac:dyDescent="0.3">
      <c r="A38" s="10">
        <v>41214</v>
      </c>
      <c r="B38" s="40">
        <v>76352304</v>
      </c>
      <c r="C38" s="40">
        <v>53148696</v>
      </c>
      <c r="D38" s="40">
        <v>222232528</v>
      </c>
      <c r="E38" s="40">
        <v>7668860416</v>
      </c>
      <c r="F38" s="40">
        <v>16365916</v>
      </c>
    </row>
    <row r="39" spans="1:6" x14ac:dyDescent="0.3">
      <c r="A39" s="10">
        <v>41244</v>
      </c>
      <c r="B39" s="40">
        <v>73579872</v>
      </c>
      <c r="C39" s="40">
        <v>51739476</v>
      </c>
      <c r="D39" s="40">
        <v>207906144</v>
      </c>
      <c r="E39" s="40">
        <v>7529568256</v>
      </c>
      <c r="F39" s="40">
        <v>18129978</v>
      </c>
    </row>
    <row r="40" spans="1:6" x14ac:dyDescent="0.3">
      <c r="A40" s="10">
        <v>41275</v>
      </c>
      <c r="B40" s="40">
        <v>75785400</v>
      </c>
      <c r="C40" s="40">
        <v>52908104</v>
      </c>
      <c r="D40" s="40">
        <v>218539888</v>
      </c>
      <c r="E40" s="40">
        <v>7615451648</v>
      </c>
      <c r="F40" s="40">
        <v>20719080</v>
      </c>
    </row>
    <row r="41" spans="1:6" x14ac:dyDescent="0.3">
      <c r="A41" s="10">
        <v>41306</v>
      </c>
      <c r="B41" s="40">
        <v>71321712</v>
      </c>
      <c r="C41" s="40">
        <v>51339176</v>
      </c>
      <c r="D41" s="40">
        <v>185091632</v>
      </c>
      <c r="E41" s="40">
        <v>6657366016</v>
      </c>
      <c r="F41" s="40">
        <v>19871920</v>
      </c>
    </row>
    <row r="42" spans="1:6" x14ac:dyDescent="0.3">
      <c r="A42" s="10">
        <v>41334</v>
      </c>
      <c r="B42" s="40">
        <v>65020200</v>
      </c>
      <c r="C42" s="40">
        <v>45887920</v>
      </c>
      <c r="D42" s="40">
        <v>186736064</v>
      </c>
      <c r="E42" s="40">
        <v>6036355072</v>
      </c>
      <c r="F42" s="40">
        <v>17604548</v>
      </c>
    </row>
    <row r="43" spans="1:6" x14ac:dyDescent="0.3">
      <c r="A43" s="10">
        <v>41365</v>
      </c>
      <c r="B43" s="40">
        <v>67315776</v>
      </c>
      <c r="C43" s="40">
        <v>46370232</v>
      </c>
      <c r="D43" s="40">
        <v>209991264</v>
      </c>
      <c r="E43" s="40">
        <v>5391501824</v>
      </c>
      <c r="F43" s="40">
        <v>18301324</v>
      </c>
    </row>
    <row r="44" spans="1:6" x14ac:dyDescent="0.3">
      <c r="A44" s="10">
        <v>41395</v>
      </c>
      <c r="B44" s="40">
        <v>64252544</v>
      </c>
      <c r="C44" s="40">
        <v>44818252</v>
      </c>
      <c r="D44" s="40">
        <v>193385728</v>
      </c>
      <c r="E44" s="40">
        <v>5611339776</v>
      </c>
      <c r="F44" s="40">
        <v>17250052</v>
      </c>
    </row>
    <row r="46" spans="1:6" x14ac:dyDescent="0.3">
      <c r="A46" s="6" t="s">
        <v>22</v>
      </c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8"/>
  <sheetViews>
    <sheetView showGridLines="0" workbookViewId="0">
      <selection activeCell="A23" sqref="A23:H32"/>
    </sheetView>
  </sheetViews>
  <sheetFormatPr defaultRowHeight="14.4" x14ac:dyDescent="0.3"/>
  <cols>
    <col min="1" max="1" width="8.44140625" bestFit="1" customWidth="1"/>
    <col min="2" max="2" width="12" bestFit="1" customWidth="1"/>
    <col min="3" max="3" width="14.44140625" bestFit="1" customWidth="1"/>
    <col min="4" max="4" width="15" bestFit="1" customWidth="1"/>
    <col min="5" max="5" width="6.33203125" bestFit="1" customWidth="1"/>
    <col min="6" max="6" width="5.6640625" bestFit="1" customWidth="1"/>
    <col min="7" max="7" width="11.5546875" bestFit="1" customWidth="1"/>
    <col min="8" max="8" width="7" bestFit="1" customWidth="1"/>
  </cols>
  <sheetData>
    <row r="1" spans="1:12" ht="15.6" x14ac:dyDescent="0.3">
      <c r="A1" s="74" t="s">
        <v>23</v>
      </c>
      <c r="B1" s="74"/>
      <c r="C1" s="74"/>
      <c r="D1" s="74"/>
      <c r="E1" s="74"/>
      <c r="F1" s="74"/>
      <c r="G1" s="74"/>
      <c r="H1" s="74"/>
    </row>
    <row r="2" spans="1:12" ht="15.6" x14ac:dyDescent="0.3">
      <c r="A2" s="75" t="s">
        <v>4</v>
      </c>
      <c r="B2" s="75"/>
      <c r="C2" s="75"/>
      <c r="D2" s="75"/>
      <c r="E2" s="75"/>
      <c r="F2" s="75"/>
      <c r="G2" s="75"/>
      <c r="H2" s="75"/>
    </row>
    <row r="3" spans="1:12" ht="15.6" x14ac:dyDescent="0.3">
      <c r="A3" s="74" t="s">
        <v>24</v>
      </c>
      <c r="B3" s="74"/>
      <c r="C3" s="74"/>
      <c r="D3" s="74"/>
      <c r="E3" s="74"/>
      <c r="F3" s="74"/>
      <c r="G3" s="74"/>
      <c r="H3" s="74"/>
    </row>
    <row r="4" spans="1:12" x14ac:dyDescent="0.3">
      <c r="A4" s="49"/>
    </row>
    <row r="6" spans="1:12" x14ac:dyDescent="0.3">
      <c r="A6" s="13" t="s">
        <v>25</v>
      </c>
      <c r="B6" s="6"/>
      <c r="C6" s="6"/>
      <c r="D6" s="6"/>
      <c r="E6" s="6"/>
      <c r="F6" s="6"/>
      <c r="G6" s="6"/>
    </row>
    <row r="7" spans="1:12" x14ac:dyDescent="0.3">
      <c r="A7" s="7"/>
      <c r="B7" s="7"/>
      <c r="C7" s="7" t="s">
        <v>26</v>
      </c>
      <c r="D7" s="7"/>
      <c r="E7" s="7"/>
      <c r="F7" s="7"/>
      <c r="G7" s="7"/>
      <c r="H7" s="7"/>
    </row>
    <row r="8" spans="1:12" x14ac:dyDescent="0.3">
      <c r="A8" s="8" t="s">
        <v>27</v>
      </c>
      <c r="B8" s="8" t="s">
        <v>28</v>
      </c>
      <c r="C8" s="8" t="s">
        <v>29</v>
      </c>
      <c r="D8" s="8" t="s">
        <v>30</v>
      </c>
      <c r="E8" s="8" t="s">
        <v>31</v>
      </c>
      <c r="F8" s="8" t="s">
        <v>32</v>
      </c>
      <c r="G8" s="8" t="s">
        <v>33</v>
      </c>
      <c r="H8" s="8" t="s">
        <v>34</v>
      </c>
    </row>
    <row r="9" spans="1:12" x14ac:dyDescent="0.3">
      <c r="A9" s="11" t="s">
        <v>35</v>
      </c>
      <c r="B9" s="5"/>
      <c r="C9" s="5"/>
      <c r="D9" s="5"/>
      <c r="E9" s="11">
        <v>550</v>
      </c>
      <c r="F9" s="5"/>
      <c r="G9" s="5"/>
      <c r="H9" s="11"/>
    </row>
    <row r="10" spans="1:12" x14ac:dyDescent="0.3">
      <c r="A10" s="11" t="s">
        <v>36</v>
      </c>
      <c r="B10" s="18">
        <v>655</v>
      </c>
      <c r="C10" s="18">
        <v>76</v>
      </c>
      <c r="D10" s="18">
        <f>B10+C10</f>
        <v>731</v>
      </c>
      <c r="E10" s="11">
        <v>608</v>
      </c>
      <c r="F10" s="11">
        <v>327</v>
      </c>
      <c r="G10" s="14">
        <f>F10/E10</f>
        <v>0.53782894736842102</v>
      </c>
      <c r="H10" s="17">
        <f t="shared" ref="H10:H17" si="0">D10/AVERAGE(E9:E10)</f>
        <v>1.2625215889464594</v>
      </c>
    </row>
    <row r="11" spans="1:12" x14ac:dyDescent="0.3">
      <c r="A11" s="11" t="s">
        <v>37</v>
      </c>
      <c r="B11" s="18">
        <v>637</v>
      </c>
      <c r="C11" s="18">
        <v>94</v>
      </c>
      <c r="D11" s="18">
        <f t="shared" ref="D11:D18" si="1">B11+C11</f>
        <v>731</v>
      </c>
      <c r="E11" s="11">
        <v>680</v>
      </c>
      <c r="F11" s="11">
        <v>372</v>
      </c>
      <c r="G11" s="14">
        <f t="shared" ref="G11:G18" si="2">F11/E11</f>
        <v>0.54705882352941182</v>
      </c>
      <c r="H11" s="17">
        <f t="shared" si="0"/>
        <v>1.1350931677018634</v>
      </c>
    </row>
    <row r="12" spans="1:12" x14ac:dyDescent="0.3">
      <c r="A12" s="11" t="s">
        <v>38</v>
      </c>
      <c r="B12" s="18">
        <v>776</v>
      </c>
      <c r="C12" s="18">
        <v>119</v>
      </c>
      <c r="D12" s="18">
        <f t="shared" si="1"/>
        <v>895</v>
      </c>
      <c r="E12" s="11">
        <v>739</v>
      </c>
      <c r="F12" s="11">
        <v>417</v>
      </c>
      <c r="G12" s="14">
        <f t="shared" si="2"/>
        <v>0.56427604871447901</v>
      </c>
      <c r="H12" s="17">
        <f t="shared" si="0"/>
        <v>1.2614517265680056</v>
      </c>
    </row>
    <row r="13" spans="1:12" x14ac:dyDescent="0.3">
      <c r="A13" s="11" t="s">
        <v>39</v>
      </c>
      <c r="B13" s="18">
        <v>798</v>
      </c>
      <c r="C13" s="18">
        <v>156</v>
      </c>
      <c r="D13" s="18">
        <f t="shared" si="1"/>
        <v>954</v>
      </c>
      <c r="E13" s="11">
        <v>800</v>
      </c>
      <c r="F13" s="11">
        <v>457</v>
      </c>
      <c r="G13" s="14">
        <f t="shared" si="2"/>
        <v>0.57125000000000004</v>
      </c>
      <c r="H13" s="17">
        <f t="shared" si="0"/>
        <v>1.239766081871345</v>
      </c>
    </row>
    <row r="14" spans="1:12" x14ac:dyDescent="0.3">
      <c r="A14" s="11" t="s">
        <v>40</v>
      </c>
      <c r="B14" s="18">
        <v>943</v>
      </c>
      <c r="C14" s="18">
        <v>188</v>
      </c>
      <c r="D14" s="18">
        <f t="shared" si="1"/>
        <v>1131</v>
      </c>
      <c r="E14" s="11">
        <v>845</v>
      </c>
      <c r="F14" s="11">
        <v>483</v>
      </c>
      <c r="G14" s="14">
        <f t="shared" si="2"/>
        <v>0.57159763313609468</v>
      </c>
      <c r="H14" s="17">
        <f t="shared" si="0"/>
        <v>1.3750759878419452</v>
      </c>
    </row>
    <row r="15" spans="1:12" x14ac:dyDescent="0.3">
      <c r="A15" s="11" t="s">
        <v>41</v>
      </c>
      <c r="B15" s="18">
        <v>872</v>
      </c>
      <c r="C15" s="18">
        <v>186</v>
      </c>
      <c r="D15" s="18">
        <f t="shared" si="1"/>
        <v>1058</v>
      </c>
      <c r="E15" s="11">
        <v>901</v>
      </c>
      <c r="F15" s="11">
        <v>526</v>
      </c>
      <c r="G15" s="14">
        <f t="shared" si="2"/>
        <v>0.58379578246392894</v>
      </c>
      <c r="H15" s="17">
        <f t="shared" si="0"/>
        <v>1.2119129438717067</v>
      </c>
      <c r="J15" s="30"/>
      <c r="L15" s="31"/>
    </row>
    <row r="16" spans="1:12" x14ac:dyDescent="0.3">
      <c r="A16" s="11" t="s">
        <v>42</v>
      </c>
      <c r="B16" s="18">
        <v>992</v>
      </c>
      <c r="C16" s="18">
        <v>192</v>
      </c>
      <c r="D16" s="18">
        <f t="shared" si="1"/>
        <v>1184</v>
      </c>
      <c r="E16" s="11">
        <v>955</v>
      </c>
      <c r="F16" s="11">
        <v>552</v>
      </c>
      <c r="G16" s="14">
        <f t="shared" si="2"/>
        <v>0.57801047120418847</v>
      </c>
      <c r="H16" s="17">
        <f t="shared" si="0"/>
        <v>1.2758620689655173</v>
      </c>
      <c r="J16" s="30"/>
      <c r="L16" s="31"/>
    </row>
    <row r="17" spans="1:12" x14ac:dyDescent="0.3">
      <c r="A17" s="11" t="s">
        <v>43</v>
      </c>
      <c r="B17" s="18">
        <v>1086</v>
      </c>
      <c r="C17" s="18">
        <v>176</v>
      </c>
      <c r="D17" s="18">
        <f t="shared" si="1"/>
        <v>1262</v>
      </c>
      <c r="E17" s="11">
        <v>1007</v>
      </c>
      <c r="F17" s="11">
        <v>584</v>
      </c>
      <c r="G17" s="14">
        <f t="shared" si="2"/>
        <v>0.57994041708043698</v>
      </c>
      <c r="H17" s="17">
        <f t="shared" si="0"/>
        <v>1.2864424057084607</v>
      </c>
      <c r="J17" s="30"/>
      <c r="L17" s="31"/>
    </row>
    <row r="18" spans="1:12" x14ac:dyDescent="0.3">
      <c r="A18" s="12" t="s">
        <v>44</v>
      </c>
      <c r="B18" s="20">
        <v>1329</v>
      </c>
      <c r="C18" s="20">
        <v>256</v>
      </c>
      <c r="D18" s="20">
        <f t="shared" si="1"/>
        <v>1585</v>
      </c>
      <c r="E18" s="12">
        <v>1056</v>
      </c>
      <c r="F18" s="12">
        <v>618</v>
      </c>
      <c r="G18" s="15">
        <f t="shared" si="2"/>
        <v>0.58522727272727271</v>
      </c>
      <c r="H18" s="19">
        <f>D18/AVERAGE(E17:E18)</f>
        <v>1.5365971885603491</v>
      </c>
      <c r="J18" s="30"/>
      <c r="L18" s="31"/>
    </row>
    <row r="19" spans="1:12" x14ac:dyDescent="0.3">
      <c r="A19" s="11"/>
      <c r="B19" s="11"/>
      <c r="C19" s="11"/>
      <c r="D19" s="11"/>
      <c r="E19" s="11"/>
      <c r="F19" s="6"/>
      <c r="G19" s="6"/>
    </row>
    <row r="20" spans="1:12" x14ac:dyDescent="0.3">
      <c r="A20" s="13" t="s">
        <v>45</v>
      </c>
      <c r="B20" s="6"/>
      <c r="C20" s="6"/>
      <c r="D20" s="6"/>
      <c r="E20" s="6"/>
      <c r="F20" s="6"/>
      <c r="G20" s="6"/>
    </row>
    <row r="21" spans="1:12" x14ac:dyDescent="0.3">
      <c r="A21" s="7"/>
      <c r="B21" s="7"/>
      <c r="C21" s="7" t="s">
        <v>26</v>
      </c>
      <c r="D21" s="7"/>
      <c r="E21" s="7"/>
      <c r="F21" s="7"/>
      <c r="G21" s="7"/>
      <c r="H21" s="7"/>
    </row>
    <row r="22" spans="1:12" x14ac:dyDescent="0.3">
      <c r="A22" s="8" t="s">
        <v>27</v>
      </c>
      <c r="B22" s="8" t="s">
        <v>28</v>
      </c>
      <c r="C22" s="8" t="s">
        <v>29</v>
      </c>
      <c r="D22" s="8" t="s">
        <v>30</v>
      </c>
      <c r="E22" s="8" t="s">
        <v>31</v>
      </c>
      <c r="F22" s="8" t="s">
        <v>32</v>
      </c>
      <c r="G22" s="8" t="s">
        <v>33</v>
      </c>
      <c r="H22" s="8" t="s">
        <v>34</v>
      </c>
    </row>
    <row r="23" spans="1:12" x14ac:dyDescent="0.3">
      <c r="A23" s="11" t="s">
        <v>35</v>
      </c>
      <c r="B23" s="5"/>
      <c r="C23" s="5"/>
      <c r="D23" s="5"/>
      <c r="E23" s="11">
        <v>144</v>
      </c>
      <c r="F23" s="5"/>
      <c r="G23" s="5"/>
      <c r="H23" s="11"/>
    </row>
    <row r="24" spans="1:12" x14ac:dyDescent="0.3">
      <c r="A24" s="11" t="s">
        <v>36</v>
      </c>
      <c r="B24" s="18">
        <v>359</v>
      </c>
      <c r="C24" s="18">
        <v>53</v>
      </c>
      <c r="D24" s="18">
        <f>B24+C24</f>
        <v>412</v>
      </c>
      <c r="E24" s="11">
        <v>154</v>
      </c>
      <c r="F24" s="11">
        <v>99</v>
      </c>
      <c r="G24" s="14">
        <f>F24/E24</f>
        <v>0.6428571428571429</v>
      </c>
      <c r="H24" s="17">
        <f t="shared" ref="H24:H31" si="3">D24/AVERAGE(E23:E24)</f>
        <v>2.7651006711409396</v>
      </c>
    </row>
    <row r="25" spans="1:12" x14ac:dyDescent="0.3">
      <c r="A25" s="11" t="s">
        <v>37</v>
      </c>
      <c r="B25" s="18">
        <v>332</v>
      </c>
      <c r="C25" s="18">
        <v>62</v>
      </c>
      <c r="D25" s="18">
        <f t="shared" ref="D25:D32" si="4">B25+C25</f>
        <v>394</v>
      </c>
      <c r="E25" s="11">
        <v>163</v>
      </c>
      <c r="F25" s="11">
        <v>105</v>
      </c>
      <c r="G25" s="14">
        <f t="shared" ref="G25:G32" si="5">F25/E25</f>
        <v>0.64417177914110424</v>
      </c>
      <c r="H25" s="17">
        <f t="shared" si="3"/>
        <v>2.4858044164037856</v>
      </c>
    </row>
    <row r="26" spans="1:12" x14ac:dyDescent="0.3">
      <c r="A26" s="11" t="s">
        <v>38</v>
      </c>
      <c r="B26" s="18">
        <v>394</v>
      </c>
      <c r="C26" s="18">
        <v>77</v>
      </c>
      <c r="D26" s="18">
        <f t="shared" si="4"/>
        <v>471</v>
      </c>
      <c r="E26" s="11">
        <v>169</v>
      </c>
      <c r="F26" s="11">
        <v>117</v>
      </c>
      <c r="G26" s="14">
        <f t="shared" si="5"/>
        <v>0.69230769230769229</v>
      </c>
      <c r="H26" s="17">
        <f t="shared" si="3"/>
        <v>2.8373493975903616</v>
      </c>
    </row>
    <row r="27" spans="1:12" x14ac:dyDescent="0.3">
      <c r="A27" s="11" t="s">
        <v>39</v>
      </c>
      <c r="B27" s="18">
        <v>395</v>
      </c>
      <c r="C27" s="18">
        <v>87</v>
      </c>
      <c r="D27" s="18">
        <f t="shared" si="4"/>
        <v>482</v>
      </c>
      <c r="E27" s="11">
        <v>176</v>
      </c>
      <c r="F27" s="11">
        <v>124</v>
      </c>
      <c r="G27" s="14">
        <f t="shared" si="5"/>
        <v>0.70454545454545459</v>
      </c>
      <c r="H27" s="17">
        <f t="shared" si="3"/>
        <v>2.7942028985507248</v>
      </c>
    </row>
    <row r="28" spans="1:12" x14ac:dyDescent="0.3">
      <c r="A28" s="11" t="s">
        <v>40</v>
      </c>
      <c r="B28" s="18">
        <v>462</v>
      </c>
      <c r="C28" s="18">
        <v>105</v>
      </c>
      <c r="D28" s="18">
        <f t="shared" si="4"/>
        <v>567</v>
      </c>
      <c r="E28" s="11">
        <v>179</v>
      </c>
      <c r="F28" s="11">
        <v>126</v>
      </c>
      <c r="G28" s="14">
        <f t="shared" si="5"/>
        <v>0.7039106145251397</v>
      </c>
      <c r="H28" s="17">
        <f t="shared" si="3"/>
        <v>3.1943661971830988</v>
      </c>
    </row>
    <row r="29" spans="1:12" x14ac:dyDescent="0.3">
      <c r="A29" s="11" t="s">
        <v>41</v>
      </c>
      <c r="B29" s="18">
        <v>419</v>
      </c>
      <c r="C29" s="18">
        <v>106</v>
      </c>
      <c r="D29" s="18">
        <f t="shared" si="4"/>
        <v>525</v>
      </c>
      <c r="E29" s="11">
        <v>183</v>
      </c>
      <c r="F29" s="11">
        <v>129</v>
      </c>
      <c r="G29" s="14">
        <f t="shared" si="5"/>
        <v>0.70491803278688525</v>
      </c>
      <c r="H29" s="17">
        <f t="shared" si="3"/>
        <v>2.9005524861878453</v>
      </c>
      <c r="I29" s="31"/>
    </row>
    <row r="30" spans="1:12" x14ac:dyDescent="0.3">
      <c r="A30" s="11" t="s">
        <v>42</v>
      </c>
      <c r="B30" s="18">
        <v>479</v>
      </c>
      <c r="C30" s="18">
        <v>111</v>
      </c>
      <c r="D30" s="18">
        <f t="shared" si="4"/>
        <v>590</v>
      </c>
      <c r="E30" s="11">
        <v>186</v>
      </c>
      <c r="F30" s="11">
        <v>130</v>
      </c>
      <c r="G30" s="14">
        <f t="shared" si="5"/>
        <v>0.69892473118279574</v>
      </c>
      <c r="H30" s="17">
        <f t="shared" si="3"/>
        <v>3.1978319783197833</v>
      </c>
      <c r="I30" s="31"/>
    </row>
    <row r="31" spans="1:12" x14ac:dyDescent="0.3">
      <c r="A31" s="11" t="s">
        <v>43</v>
      </c>
      <c r="B31" s="18">
        <v>538</v>
      </c>
      <c r="C31" s="18">
        <v>99</v>
      </c>
      <c r="D31" s="18">
        <f t="shared" si="4"/>
        <v>637</v>
      </c>
      <c r="E31" s="11">
        <v>189</v>
      </c>
      <c r="F31" s="11">
        <v>132</v>
      </c>
      <c r="G31" s="14">
        <f t="shared" si="5"/>
        <v>0.69841269841269837</v>
      </c>
      <c r="H31" s="17">
        <f t="shared" si="3"/>
        <v>3.3973333333333335</v>
      </c>
      <c r="I31" s="31"/>
    </row>
    <row r="32" spans="1:12" x14ac:dyDescent="0.3">
      <c r="A32" s="12" t="s">
        <v>44</v>
      </c>
      <c r="B32" s="20">
        <v>631</v>
      </c>
      <c r="C32" s="20">
        <v>149</v>
      </c>
      <c r="D32" s="20">
        <f t="shared" si="4"/>
        <v>780</v>
      </c>
      <c r="E32" s="12">
        <v>193</v>
      </c>
      <c r="F32" s="12">
        <v>135</v>
      </c>
      <c r="G32" s="15">
        <f t="shared" si="5"/>
        <v>0.69948186528497414</v>
      </c>
      <c r="H32" s="19">
        <f>D32/AVERAGE(E31:E32)</f>
        <v>4.0837696335078535</v>
      </c>
      <c r="I32" s="31"/>
    </row>
    <row r="33" spans="1:7" x14ac:dyDescent="0.3">
      <c r="B33" s="6"/>
      <c r="C33" s="6"/>
      <c r="D33" s="6"/>
      <c r="E33" s="6"/>
      <c r="F33" s="6"/>
      <c r="G33" s="6"/>
    </row>
    <row r="34" spans="1:7" x14ac:dyDescent="0.3">
      <c r="A34" s="6" t="s">
        <v>46</v>
      </c>
      <c r="B34" s="6"/>
      <c r="C34" s="6"/>
      <c r="D34" s="6"/>
      <c r="E34" s="6"/>
      <c r="F34" s="6"/>
      <c r="G34" s="6"/>
    </row>
    <row r="36" spans="1:7" x14ac:dyDescent="0.3">
      <c r="A36" s="6" t="s">
        <v>47</v>
      </c>
    </row>
    <row r="37" spans="1:7" x14ac:dyDescent="0.3">
      <c r="A37" s="6"/>
    </row>
    <row r="38" spans="1:7" ht="15.75" customHeight="1" x14ac:dyDescent="0.3">
      <c r="A38" s="16"/>
    </row>
  </sheetData>
  <mergeCells count="3">
    <mergeCell ref="A1:H1"/>
    <mergeCell ref="A2:H2"/>
    <mergeCell ref="A3:H3"/>
  </mergeCells>
  <pageMargins left="0.7" right="0.7" top="0.75" bottom="0.75" header="0.3" footer="0.3"/>
  <ignoredErrors>
    <ignoredError sqref="H10:H11 H12:H18 H24:H32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22"/>
  <sheetViews>
    <sheetView showGridLines="0" tabSelected="1" zoomScale="90" zoomScaleNormal="90" workbookViewId="0">
      <selection activeCell="B20" sqref="B20"/>
    </sheetView>
  </sheetViews>
  <sheetFormatPr defaultColWidth="9.109375" defaultRowHeight="13.8" x14ac:dyDescent="0.25"/>
  <cols>
    <col min="1" max="1" width="27.6640625" style="6" bestFit="1" customWidth="1"/>
    <col min="2" max="11" width="10.44140625" style="6" customWidth="1"/>
    <col min="12" max="12" width="8" style="6" customWidth="1"/>
    <col min="13" max="13" width="12.33203125" style="6" bestFit="1" customWidth="1"/>
    <col min="14" max="14" width="7.5546875" style="6" bestFit="1" customWidth="1"/>
    <col min="15" max="16" width="16.5546875" style="6" bestFit="1" customWidth="1"/>
    <col min="17" max="16384" width="9.109375" style="6"/>
  </cols>
  <sheetData>
    <row r="1" spans="1:16" ht="15.6" x14ac:dyDescent="0.25">
      <c r="A1" s="74" t="s">
        <v>48</v>
      </c>
      <c r="B1" s="74"/>
      <c r="C1" s="74"/>
      <c r="D1" s="74"/>
      <c r="E1" s="74"/>
      <c r="F1" s="74"/>
    </row>
    <row r="2" spans="1:16" ht="15.6" x14ac:dyDescent="0.25">
      <c r="A2" s="75" t="s">
        <v>4</v>
      </c>
      <c r="B2" s="75"/>
      <c r="C2" s="75"/>
      <c r="D2" s="75"/>
      <c r="E2" s="75"/>
      <c r="F2" s="75"/>
      <c r="O2" s="57" t="s">
        <v>376</v>
      </c>
      <c r="P2" s="57" t="s">
        <v>377</v>
      </c>
    </row>
    <row r="3" spans="1:16" ht="15.6" x14ac:dyDescent="0.25">
      <c r="A3" s="74" t="s">
        <v>49</v>
      </c>
      <c r="B3" s="74"/>
      <c r="C3" s="74"/>
      <c r="D3" s="74"/>
      <c r="E3" s="74"/>
      <c r="F3" s="74"/>
      <c r="N3" s="56" t="s">
        <v>375</v>
      </c>
      <c r="O3" s="58" t="s">
        <v>378</v>
      </c>
      <c r="P3" s="58" t="str">
        <f>O3</f>
        <v>Previous model</v>
      </c>
    </row>
    <row r="6" spans="1:16" ht="14.4" x14ac:dyDescent="0.3">
      <c r="A6" s="39" t="s">
        <v>50</v>
      </c>
      <c r="B6" s="36"/>
      <c r="C6" s="36"/>
      <c r="D6" s="39" t="s">
        <v>51</v>
      </c>
      <c r="E6" s="36"/>
      <c r="F6" s="36"/>
      <c r="G6" s="36"/>
      <c r="H6" s="36"/>
      <c r="I6" s="36"/>
      <c r="J6" s="36"/>
      <c r="K6" s="36"/>
      <c r="L6" s="36"/>
      <c r="M6" s="39" t="s">
        <v>52</v>
      </c>
    </row>
    <row r="7" spans="1:16" x14ac:dyDescent="0.25">
      <c r="A7" s="6" t="s">
        <v>53</v>
      </c>
      <c r="B7" s="41">
        <f>('Exhibit 1'!C44/'Exhibit 1'!C32)^(1/12)-1</f>
        <v>1.5184757357995959E-2</v>
      </c>
      <c r="D7" s="6" t="s">
        <v>54</v>
      </c>
      <c r="M7" s="12" t="s">
        <v>55</v>
      </c>
      <c r="N7" s="12" t="s">
        <v>55</v>
      </c>
      <c r="O7" s="12" t="s">
        <v>56</v>
      </c>
      <c r="P7" s="12" t="s">
        <v>377</v>
      </c>
    </row>
    <row r="8" spans="1:16" x14ac:dyDescent="0.25">
      <c r="A8" s="6" t="s">
        <v>57</v>
      </c>
      <c r="B8" s="41">
        <f>(33%-18%)/9</f>
        <v>1.666666666666667E-2</v>
      </c>
      <c r="D8" s="6" t="s">
        <v>58</v>
      </c>
      <c r="M8" s="11">
        <f>YEAR(N8)</f>
        <v>2013</v>
      </c>
      <c r="N8" s="10">
        <v>41426</v>
      </c>
      <c r="O8" s="43">
        <f>INDEX('Summary_Population World_USA'!$C$3:$J$117,MATCH($N8,'Summary_Population World_USA'!$A$3:$A$117,0),MATCH(O$3,'Summary_Population World_USA'!$C$2:$J$2,0))</f>
        <v>138.55028785696786</v>
      </c>
      <c r="P8" s="43">
        <f>INDEX('Summary_Population World_USA'!$L$3:$S$117,MATCH($N8,'Summary_Population World_USA'!$A$3:$A$117,0),MATCH($P$3,'Summary_Population World_USA'!$L$2:$S$2,0))</f>
        <v>45.721594992799396</v>
      </c>
    </row>
    <row r="9" spans="1:16" x14ac:dyDescent="0.25">
      <c r="A9" s="6" t="s">
        <v>59</v>
      </c>
      <c r="B9" s="26">
        <v>2</v>
      </c>
      <c r="D9" s="6" t="s">
        <v>60</v>
      </c>
      <c r="M9" s="11">
        <f t="shared" ref="M9:M72" si="0">YEAR(N9)</f>
        <v>2013</v>
      </c>
      <c r="N9" s="10">
        <v>41456</v>
      </c>
      <c r="O9" s="43">
        <f>INDEX('Summary_Population World_USA'!$C$3:$J$117,MATCH($N9,'Summary_Population World_USA'!$A$3:$A$117,0),MATCH(O$3,'Summary_Population World_USA'!$C$2:$J$2,0))</f>
        <v>140.65414035995641</v>
      </c>
      <c r="P9" s="43">
        <f>INDEX('Summary_Population World_USA'!$L$3:$S$117,MATCH($N9,'Summary_Population World_USA'!$A$3:$A$117,0),MATCH($P$3,'Summary_Population World_USA'!$L$2:$S$2,0))</f>
        <v>46.415866318785618</v>
      </c>
    </row>
    <row r="10" spans="1:16" x14ac:dyDescent="0.25">
      <c r="A10" s="6" t="s">
        <v>61</v>
      </c>
      <c r="B10" s="27">
        <v>0.3</v>
      </c>
      <c r="D10" s="6" t="s">
        <v>62</v>
      </c>
      <c r="M10" s="11">
        <f t="shared" si="0"/>
        <v>2013</v>
      </c>
      <c r="N10" s="10">
        <v>41487</v>
      </c>
      <c r="O10" s="43">
        <f>INDEX('Summary_Population World_USA'!$C$3:$J$117,MATCH($N10,'Summary_Population World_USA'!$A$3:$A$117,0),MATCH(O$3,'Summary_Population World_USA'!$C$2:$J$2,0))</f>
        <v>142.78993935271987</v>
      </c>
      <c r="P10" s="43">
        <f>INDEX('Summary_Population World_USA'!$L$3:$S$117,MATCH($N10,'Summary_Population World_USA'!$A$3:$A$117,0),MATCH($P$3,'Summary_Population World_USA'!$L$2:$S$2,0))</f>
        <v>47.120679986397562</v>
      </c>
    </row>
    <row r="11" spans="1:16" x14ac:dyDescent="0.25">
      <c r="A11" s="6" t="s">
        <v>63</v>
      </c>
      <c r="B11" s="27">
        <v>0.03</v>
      </c>
      <c r="D11" s="6" t="s">
        <v>64</v>
      </c>
      <c r="M11" s="11">
        <f t="shared" si="0"/>
        <v>2013</v>
      </c>
      <c r="N11" s="10">
        <v>41518</v>
      </c>
      <c r="O11" s="43">
        <f>INDEX('Summary_Population World_USA'!$C$3:$J$117,MATCH($N11,'Summary_Population World_USA'!$A$3:$A$117,0),MATCH(O$3,'Summary_Population World_USA'!$C$2:$J$2,0))</f>
        <v>144.95816993495387</v>
      </c>
      <c r="P11" s="43">
        <f>INDEX('Summary_Population World_USA'!$L$3:$S$117,MATCH($N11,'Summary_Population World_USA'!$A$3:$A$117,0),MATCH($P$3,'Summary_Population World_USA'!$L$2:$S$2,0))</f>
        <v>47.836196078534783</v>
      </c>
    </row>
    <row r="12" spans="1:16" x14ac:dyDescent="0.25">
      <c r="A12" s="6" t="s">
        <v>65</v>
      </c>
      <c r="B12" s="24">
        <f>1612000/5089000</f>
        <v>0.31676164275889174</v>
      </c>
      <c r="D12" s="6" t="s">
        <v>66</v>
      </c>
      <c r="M12" s="11">
        <f t="shared" si="0"/>
        <v>2013</v>
      </c>
      <c r="N12" s="10">
        <v>41548</v>
      </c>
      <c r="O12" s="43">
        <f>INDEX('Summary_Population World_USA'!$C$3:$J$117,MATCH($N12,'Summary_Population World_USA'!$A$3:$A$117,0),MATCH(O$3,'Summary_Population World_USA'!$C$2:$J$2,0))</f>
        <v>147.1593245724753</v>
      </c>
      <c r="P12" s="43">
        <f>INDEX('Summary_Population World_USA'!$L$3:$S$117,MATCH($N12,'Summary_Population World_USA'!$A$3:$A$117,0),MATCH($P$3,'Summary_Population World_USA'!$L$2:$S$2,0))</f>
        <v>48.562577108916848</v>
      </c>
    </row>
    <row r="13" spans="1:16" ht="15" customHeight="1" x14ac:dyDescent="0.25">
      <c r="A13" s="6" t="s">
        <v>67</v>
      </c>
      <c r="B13" s="26">
        <f>6.75/1.5</f>
        <v>4.5</v>
      </c>
      <c r="D13" s="6" t="s">
        <v>68</v>
      </c>
      <c r="M13" s="11">
        <f t="shared" si="0"/>
        <v>2013</v>
      </c>
      <c r="N13" s="10">
        <v>41579</v>
      </c>
      <c r="O13" s="43">
        <f>INDEX('Summary_Population World_USA'!$C$3:$J$117,MATCH($N13,'Summary_Population World_USA'!$A$3:$A$117,0),MATCH(O$3,'Summary_Population World_USA'!$C$2:$J$2,0))</f>
        <v>149.39390320907492</v>
      </c>
      <c r="P13" s="43">
        <f>INDEX('Summary_Population World_USA'!$L$3:$S$117,MATCH($N13,'Summary_Population World_USA'!$A$3:$A$117,0),MATCH($P$3,'Summary_Population World_USA'!$L$2:$S$2,0))</f>
        <v>49.299988058994728</v>
      </c>
    </row>
    <row r="14" spans="1:16" ht="15.75" customHeight="1" x14ac:dyDescent="0.25">
      <c r="A14" s="6" t="s">
        <v>69</v>
      </c>
      <c r="B14" s="23">
        <v>0.1</v>
      </c>
      <c r="D14" s="6" t="s">
        <v>70</v>
      </c>
      <c r="M14" s="11">
        <f t="shared" si="0"/>
        <v>2013</v>
      </c>
      <c r="N14" s="10">
        <v>41609</v>
      </c>
      <c r="O14" s="43">
        <f>INDEX('Summary_Population World_USA'!$C$3:$J$117,MATCH($N14,'Summary_Population World_USA'!$A$3:$A$117,0),MATCH(O$3,'Summary_Population World_USA'!$C$2:$J$2,0))</f>
        <v>151.66241338006867</v>
      </c>
      <c r="P14" s="43">
        <f>INDEX('Summary_Population World_USA'!$L$3:$S$117,MATCH($N14,'Summary_Population World_USA'!$A$3:$A$117,0),MATCH($P$3,'Summary_Population World_USA'!$L$2:$S$2,0))</f>
        <v>50.048596415422665</v>
      </c>
    </row>
    <row r="15" spans="1:16" ht="15.75" customHeight="1" x14ac:dyDescent="0.25">
      <c r="A15" s="36" t="s">
        <v>71</v>
      </c>
      <c r="B15" s="37">
        <v>0.03</v>
      </c>
      <c r="C15" s="36"/>
      <c r="D15" s="36" t="s">
        <v>72</v>
      </c>
      <c r="E15" s="36"/>
      <c r="F15" s="36"/>
      <c r="G15" s="36"/>
      <c r="H15" s="36"/>
      <c r="I15" s="36"/>
      <c r="J15" s="36"/>
      <c r="K15" s="36"/>
      <c r="L15" s="36"/>
      <c r="M15" s="11">
        <f t="shared" si="0"/>
        <v>2014</v>
      </c>
      <c r="N15" s="10">
        <v>41640</v>
      </c>
      <c r="O15" s="43">
        <f>INDEX('Summary_Population World_USA'!$C$3:$J$117,MATCH($N15,'Summary_Population World_USA'!$A$3:$A$117,0),MATCH(O$3,'Summary_Population World_USA'!$C$2:$J$2,0))</f>
        <v>153.96537032757308</v>
      </c>
      <c r="P15" s="43">
        <f>INDEX('Summary_Population World_USA'!$L$3:$S$117,MATCH($N15,'Summary_Population World_USA'!$A$3:$A$117,0),MATCH($P$3,'Summary_Population World_USA'!$L$2:$S$2,0))</f>
        <v>48.24248270263957</v>
      </c>
    </row>
    <row r="16" spans="1:16" ht="15.75" customHeight="1" x14ac:dyDescent="0.25">
      <c r="M16" s="11">
        <f t="shared" si="0"/>
        <v>2014</v>
      </c>
      <c r="N16" s="10">
        <v>41671</v>
      </c>
      <c r="O16" s="43">
        <f>INDEX('Summary_Population World_USA'!$C$3:$J$117,MATCH($N16,'Summary_Population World_USA'!$A$3:$A$117,0),MATCH(O$3,'Summary_Population World_USA'!$C$2:$J$2,0))</f>
        <v>156.30329711753126</v>
      </c>
      <c r="P16" s="43">
        <f>INDEX('Summary_Population World_USA'!$L$3:$S$117,MATCH($N16,'Summary_Population World_USA'!$A$3:$A$117,0),MATCH($P$3,'Summary_Population World_USA'!$L$2:$S$2,0))</f>
        <v>48.975033096826465</v>
      </c>
    </row>
    <row r="17" spans="1:16" ht="14.4" x14ac:dyDescent="0.3">
      <c r="A17" s="22" t="s">
        <v>73</v>
      </c>
      <c r="M17" s="11">
        <f t="shared" si="0"/>
        <v>2014</v>
      </c>
      <c r="N17" s="10">
        <v>41699</v>
      </c>
      <c r="O17" s="43">
        <f>INDEX('Summary_Population World_USA'!$C$3:$J$117,MATCH($N17,'Summary_Population World_USA'!$A$3:$A$117,0),MATCH(O$3,'Summary_Population World_USA'!$C$2:$J$2,0))</f>
        <v>158.67672475851572</v>
      </c>
      <c r="P17" s="43">
        <f>INDEX('Summary_Population World_USA'!$L$3:$S$117,MATCH($N17,'Summary_Population World_USA'!$A$3:$A$117,0),MATCH($P$3,'Summary_Population World_USA'!$L$2:$S$2,0))</f>
        <v>49.718707091001598</v>
      </c>
    </row>
    <row r="18" spans="1:16" x14ac:dyDescent="0.25">
      <c r="B18" s="34">
        <v>2013</v>
      </c>
      <c r="C18" s="34">
        <v>2014</v>
      </c>
      <c r="D18" s="34">
        <v>2015</v>
      </c>
      <c r="E18" s="34">
        <v>2016</v>
      </c>
      <c r="F18" s="34">
        <v>2017</v>
      </c>
      <c r="G18" s="34">
        <v>2018</v>
      </c>
      <c r="H18" s="34">
        <v>2019</v>
      </c>
      <c r="I18" s="34">
        <v>2020</v>
      </c>
      <c r="J18" s="34">
        <v>2021</v>
      </c>
      <c r="K18" s="34">
        <v>2022</v>
      </c>
      <c r="L18" s="42"/>
      <c r="M18" s="11">
        <f t="shared" si="0"/>
        <v>2014</v>
      </c>
      <c r="N18" s="10">
        <v>41730</v>
      </c>
      <c r="O18" s="43">
        <f>INDEX('Summary_Population World_USA'!$C$3:$J$117,MATCH($N18,'Summary_Population World_USA'!$A$3:$A$117,0),MATCH(O$3,'Summary_Population World_USA'!$C$2:$J$2,0))</f>
        <v>161.08619232233528</v>
      </c>
      <c r="P18" s="43">
        <f>INDEX('Summary_Population World_USA'!$L$3:$S$117,MATCH($N18,'Summary_Population World_USA'!$A$3:$A$117,0),MATCH($P$3,'Summary_Population World_USA'!$L$2:$S$2,0))</f>
        <v>50.473673594331721</v>
      </c>
    </row>
    <row r="19" spans="1:16" x14ac:dyDescent="0.25">
      <c r="A19" s="6" t="s">
        <v>74</v>
      </c>
      <c r="B19" s="61">
        <f>AVERAGEIFS($O$8:$O$122,$M$8:$M$122,B$18)</f>
        <v>145.02402552374525</v>
      </c>
      <c r="C19" s="61">
        <f t="shared" ref="C19:K19" si="1">AVERAGEIFS($O$8:$O$122,$M$8:$M$122,C$18)</f>
        <v>167.49760327113054</v>
      </c>
      <c r="D19" s="61">
        <f t="shared" si="1"/>
        <v>200.70105590994908</v>
      </c>
      <c r="E19" s="61">
        <f t="shared" si="1"/>
        <v>240.48650880195146</v>
      </c>
      <c r="F19" s="61">
        <f t="shared" si="1"/>
        <v>288.15872768352568</v>
      </c>
      <c r="G19" s="61">
        <f t="shared" si="1"/>
        <v>345.28112514024951</v>
      </c>
      <c r="H19" s="61">
        <f t="shared" si="1"/>
        <v>413.72703279371302</v>
      </c>
      <c r="I19" s="61">
        <f t="shared" si="1"/>
        <v>495.74113729721722</v>
      </c>
      <c r="J19" s="61">
        <f t="shared" si="1"/>
        <v>594.01309493662109</v>
      </c>
      <c r="K19" s="61">
        <f t="shared" si="1"/>
        <v>711.76573903051803</v>
      </c>
      <c r="L19" s="21"/>
      <c r="M19" s="11">
        <f t="shared" si="0"/>
        <v>2014</v>
      </c>
      <c r="N19" s="10">
        <v>41760</v>
      </c>
      <c r="O19" s="43">
        <f>INDEX('Summary_Population World_USA'!$C$3:$J$117,MATCH($N19,'Summary_Population World_USA'!$A$3:$A$117,0),MATCH(O$3,'Summary_Population World_USA'!$C$2:$J$2,0))</f>
        <v>163.53224706647342</v>
      </c>
      <c r="P19" s="43">
        <f>INDEX('Summary_Population World_USA'!$L$3:$S$117,MATCH($N19,'Summary_Population World_USA'!$A$3:$A$117,0),MATCH($P$3,'Summary_Population World_USA'!$L$2:$S$2,0))</f>
        <v>51.240104080828338</v>
      </c>
    </row>
    <row r="20" spans="1:16" x14ac:dyDescent="0.25">
      <c r="A20" s="6" t="s">
        <v>75</v>
      </c>
      <c r="B20" s="23">
        <f>'Summary_Population World_USA'!U4</f>
        <v>0.33</v>
      </c>
      <c r="C20" s="23">
        <f>'Summary_Population World_USA'!V4</f>
        <v>0.31333333333333335</v>
      </c>
      <c r="D20" s="23">
        <f>'Summary_Population World_USA'!W4</f>
        <v>0.29666666666666669</v>
      </c>
      <c r="E20" s="23">
        <f>'Summary_Population World_USA'!X4</f>
        <v>0.28000000000000003</v>
      </c>
      <c r="F20" s="23">
        <f>'Summary_Population World_USA'!Y4</f>
        <v>0.26333333333333336</v>
      </c>
      <c r="G20" s="23">
        <f>'Summary_Population World_USA'!Z4</f>
        <v>0.2466666666666667</v>
      </c>
      <c r="H20" s="23">
        <f>'Summary_Population World_USA'!AA4</f>
        <v>0.23000000000000004</v>
      </c>
      <c r="I20" s="23">
        <f>'Summary_Population World_USA'!AB4</f>
        <v>0.21333333333333337</v>
      </c>
      <c r="J20" s="23">
        <f>'Summary_Population World_USA'!AC4</f>
        <v>0.19666666666666671</v>
      </c>
      <c r="K20" s="23">
        <f>'Summary_Population World_USA'!AD4</f>
        <v>0.18000000000000005</v>
      </c>
      <c r="L20" s="23"/>
      <c r="M20" s="11">
        <f t="shared" si="0"/>
        <v>2014</v>
      </c>
      <c r="N20" s="10">
        <v>41791</v>
      </c>
      <c r="O20" s="43">
        <f>INDEX('Summary_Population World_USA'!$C$3:$J$117,MATCH($N20,'Summary_Population World_USA'!$A$3:$A$117,0),MATCH(O$3,'Summary_Population World_USA'!$C$2:$J$2,0))</f>
        <v>166.01544455838567</v>
      </c>
      <c r="P20" s="43">
        <f>INDEX('Summary_Population World_USA'!$L$3:$S$117,MATCH($N20,'Summary_Population World_USA'!$A$3:$A$117,0),MATCH($P$3,'Summary_Population World_USA'!$L$2:$S$2,0))</f>
        <v>52.018172628294181</v>
      </c>
    </row>
    <row r="21" spans="1:16" x14ac:dyDescent="0.25">
      <c r="A21" s="6" t="s">
        <v>76</v>
      </c>
      <c r="B21" s="61">
        <f>AVERAGEIFS($P$8:$P$122,$M$8:$M$122,B$18)</f>
        <v>47.85792842283594</v>
      </c>
      <c r="C21" s="61">
        <f t="shared" ref="C21:K21" si="2">AVERAGEIFS($P$8:$P$122,$M$8:$M$122,C$18)</f>
        <v>52.482582358287573</v>
      </c>
      <c r="D21" s="61">
        <f t="shared" si="2"/>
        <v>59.541313253284898</v>
      </c>
      <c r="E21" s="61">
        <f t="shared" si="2"/>
        <v>67.336222464546424</v>
      </c>
      <c r="F21" s="61">
        <f t="shared" si="2"/>
        <v>75.881798289995103</v>
      </c>
      <c r="G21" s="61">
        <f t="shared" si="2"/>
        <v>85.169344201261566</v>
      </c>
      <c r="H21" s="61">
        <f t="shared" si="2"/>
        <v>95.157217542554008</v>
      </c>
      <c r="I21" s="61">
        <f t="shared" si="2"/>
        <v>105.75810929007305</v>
      </c>
      <c r="J21" s="61">
        <f t="shared" si="2"/>
        <v>116.82257533753553</v>
      </c>
      <c r="K21" s="61">
        <f t="shared" si="2"/>
        <v>128.11783302549327</v>
      </c>
      <c r="L21" s="25" t="s">
        <v>1302</v>
      </c>
      <c r="M21" s="11">
        <f t="shared" si="0"/>
        <v>2014</v>
      </c>
      <c r="N21" s="10">
        <v>41821</v>
      </c>
      <c r="O21" s="43">
        <f>INDEX('Summary_Population World_USA'!$C$3:$J$117,MATCH($N21,'Summary_Population World_USA'!$A$3:$A$117,0),MATCH(O$3,'Summary_Population World_USA'!$C$2:$J$2,0))</f>
        <v>168.5363488016846</v>
      </c>
      <c r="P21" s="43">
        <f>INDEX('Summary_Population World_USA'!$L$3:$S$117,MATCH($N21,'Summary_Population World_USA'!$A$3:$A$117,0),MATCH($P$3,'Summary_Population World_USA'!$L$2:$S$2,0))</f>
        <v>52.808055957861178</v>
      </c>
    </row>
    <row r="22" spans="1:16" x14ac:dyDescent="0.25">
      <c r="A22" s="6" t="s">
        <v>77</v>
      </c>
      <c r="B22" s="25">
        <f t="shared" ref="B22:K22" si="3">B19-B21</f>
        <v>97.166097100909312</v>
      </c>
      <c r="C22" s="25">
        <f t="shared" si="3"/>
        <v>115.01502091284297</v>
      </c>
      <c r="D22" s="25">
        <f t="shared" si="3"/>
        <v>141.15974265666418</v>
      </c>
      <c r="E22" s="25">
        <f t="shared" si="3"/>
        <v>173.15028633740502</v>
      </c>
      <c r="F22" s="25">
        <f t="shared" si="3"/>
        <v>212.27692939353057</v>
      </c>
      <c r="G22" s="25">
        <f t="shared" si="3"/>
        <v>260.11178093898798</v>
      </c>
      <c r="H22" s="25">
        <f t="shared" si="3"/>
        <v>318.56981525115901</v>
      </c>
      <c r="I22" s="25">
        <f t="shared" si="3"/>
        <v>389.98302800714418</v>
      </c>
      <c r="J22" s="25">
        <f t="shared" si="3"/>
        <v>477.19051959908558</v>
      </c>
      <c r="K22" s="25">
        <f t="shared" si="3"/>
        <v>583.64790600502477</v>
      </c>
      <c r="L22" s="25"/>
      <c r="M22" s="11">
        <f t="shared" si="0"/>
        <v>2014</v>
      </c>
      <c r="N22" s="10">
        <v>41852</v>
      </c>
      <c r="O22" s="43">
        <f>INDEX('Summary_Population World_USA'!$C$3:$J$117,MATCH($N22,'Summary_Population World_USA'!$A$3:$A$117,0),MATCH(O$3,'Summary_Population World_USA'!$C$2:$J$2,0))</f>
        <v>171.09553236424074</v>
      </c>
      <c r="P22" s="43">
        <f>INDEX('Summary_Population World_USA'!$L$3:$S$117,MATCH($N22,'Summary_Population World_USA'!$A$3:$A$117,0),MATCH($P$3,'Summary_Population World_USA'!$L$2:$S$2,0))</f>
        <v>53.609933474128766</v>
      </c>
    </row>
    <row r="23" spans="1:16" x14ac:dyDescent="0.25">
      <c r="A23" s="6" t="s">
        <v>78</v>
      </c>
      <c r="B23" s="25">
        <f t="shared" ref="B23:K23" si="4">B21/$B$9</f>
        <v>23.92896421141797</v>
      </c>
      <c r="C23" s="25">
        <f t="shared" si="4"/>
        <v>26.241291179143786</v>
      </c>
      <c r="D23" s="25">
        <f t="shared" si="4"/>
        <v>29.770656626642449</v>
      </c>
      <c r="E23" s="25">
        <f t="shared" si="4"/>
        <v>33.668111232273212</v>
      </c>
      <c r="F23" s="25">
        <f t="shared" si="4"/>
        <v>37.940899144997552</v>
      </c>
      <c r="G23" s="25">
        <f t="shared" si="4"/>
        <v>42.584672100630783</v>
      </c>
      <c r="H23" s="25">
        <f t="shared" si="4"/>
        <v>47.578608771277004</v>
      </c>
      <c r="I23" s="25">
        <f t="shared" si="4"/>
        <v>52.879054645036526</v>
      </c>
      <c r="J23" s="25">
        <f t="shared" si="4"/>
        <v>58.411287668767763</v>
      </c>
      <c r="K23" s="25">
        <f t="shared" si="4"/>
        <v>64.058916512746634</v>
      </c>
      <c r="L23" s="25"/>
      <c r="M23" s="11">
        <f t="shared" si="0"/>
        <v>2014</v>
      </c>
      <c r="N23" s="10">
        <v>41883</v>
      </c>
      <c r="O23" s="43">
        <f>INDEX('Summary_Population World_USA'!$C$3:$J$117,MATCH($N23,'Summary_Population World_USA'!$A$3:$A$117,0),MATCH(O$3,'Summary_Population World_USA'!$C$2:$J$2,0))</f>
        <v>173.69357650822889</v>
      </c>
      <c r="P23" s="43">
        <f>INDEX('Summary_Population World_USA'!$L$3:$S$117,MATCH($N23,'Summary_Population World_USA'!$A$3:$A$117,0),MATCH($P$3,'Summary_Population World_USA'!$L$2:$S$2,0))</f>
        <v>54.423987305911723</v>
      </c>
    </row>
    <row r="24" spans="1:16" x14ac:dyDescent="0.25">
      <c r="A24" s="6" t="s">
        <v>79</v>
      </c>
      <c r="B24" s="25">
        <f t="shared" ref="B24:K24" si="5">B22/$B$9</f>
        <v>48.583048550454656</v>
      </c>
      <c r="C24" s="25">
        <f t="shared" si="5"/>
        <v>57.507510456421485</v>
      </c>
      <c r="D24" s="25">
        <f t="shared" si="5"/>
        <v>70.579871328332089</v>
      </c>
      <c r="E24" s="25">
        <f t="shared" si="5"/>
        <v>86.57514316870251</v>
      </c>
      <c r="F24" s="25">
        <f t="shared" si="5"/>
        <v>106.13846469676528</v>
      </c>
      <c r="G24" s="25">
        <f t="shared" si="5"/>
        <v>130.05589046949399</v>
      </c>
      <c r="H24" s="25">
        <f t="shared" si="5"/>
        <v>159.28490762557951</v>
      </c>
      <c r="I24" s="25">
        <f t="shared" si="5"/>
        <v>194.99151400357209</v>
      </c>
      <c r="J24" s="25">
        <f t="shared" si="5"/>
        <v>238.59525979954279</v>
      </c>
      <c r="K24" s="25">
        <f t="shared" si="5"/>
        <v>291.82395300251238</v>
      </c>
      <c r="L24" s="25"/>
      <c r="M24" s="11">
        <f t="shared" si="0"/>
        <v>2014</v>
      </c>
      <c r="N24" s="10">
        <v>41913</v>
      </c>
      <c r="O24" s="43">
        <f>INDEX('Summary_Population World_USA'!$C$3:$J$117,MATCH($N24,'Summary_Population World_USA'!$A$3:$A$117,0),MATCH(O$3,'Summary_Population World_USA'!$C$2:$J$2,0))</f>
        <v>176.33107132214886</v>
      </c>
      <c r="P24" s="43">
        <f>INDEX('Summary_Population World_USA'!$L$3:$S$117,MATCH($N24,'Summary_Population World_USA'!$A$3:$A$117,0),MATCH($P$3,'Summary_Population World_USA'!$L$2:$S$2,0))</f>
        <v>55.250402347606645</v>
      </c>
    </row>
    <row r="25" spans="1:16" x14ac:dyDescent="0.25">
      <c r="A25" s="6" t="s">
        <v>80</v>
      </c>
      <c r="B25" s="27">
        <v>13.579487431348817</v>
      </c>
      <c r="C25" s="29">
        <f>B25+$B$10</f>
        <v>13.879487431348817</v>
      </c>
      <c r="D25" s="29">
        <f t="shared" ref="D25:K25" si="6">C25+$B$10</f>
        <v>14.179487431348818</v>
      </c>
      <c r="E25" s="29">
        <f t="shared" si="6"/>
        <v>14.479487431348819</v>
      </c>
      <c r="F25" s="29">
        <f t="shared" si="6"/>
        <v>14.779487431348819</v>
      </c>
      <c r="G25" s="29">
        <f t="shared" si="6"/>
        <v>15.07948743134882</v>
      </c>
      <c r="H25" s="29">
        <f t="shared" si="6"/>
        <v>15.379487431348821</v>
      </c>
      <c r="I25" s="29">
        <f t="shared" si="6"/>
        <v>15.679487431348822</v>
      </c>
      <c r="J25" s="29">
        <f t="shared" si="6"/>
        <v>15.979487431348822</v>
      </c>
      <c r="K25" s="29">
        <f t="shared" si="6"/>
        <v>16.279487431348823</v>
      </c>
      <c r="L25" s="29"/>
      <c r="M25" s="11">
        <f t="shared" si="0"/>
        <v>2014</v>
      </c>
      <c r="N25" s="10">
        <v>41944</v>
      </c>
      <c r="O25" s="43">
        <f>INDEX('Summary_Population World_USA'!$C$3:$J$117,MATCH($N25,'Summary_Population World_USA'!$A$3:$A$117,0),MATCH(O$3,'Summary_Population World_USA'!$C$2:$J$2,0))</f>
        <v>179.00861585485117</v>
      </c>
      <c r="P25" s="43">
        <f>INDEX('Summary_Population World_USA'!$L$3:$S$117,MATCH($N25,'Summary_Population World_USA'!$A$3:$A$117,0),MATCH($P$3,'Summary_Population World_USA'!$L$2:$S$2,0))</f>
        <v>56.089366301186701</v>
      </c>
    </row>
    <row r="26" spans="1:16" x14ac:dyDescent="0.25">
      <c r="A26" s="6" t="s">
        <v>81</v>
      </c>
      <c r="B26" s="28">
        <v>3.2116228261038078</v>
      </c>
      <c r="C26" s="29">
        <f>B26+$B$11</f>
        <v>3.2416228261038076</v>
      </c>
      <c r="D26" s="29">
        <f t="shared" ref="D26:K26" si="7">C26+$B$11</f>
        <v>3.2716228261038074</v>
      </c>
      <c r="E26" s="29">
        <f t="shared" si="7"/>
        <v>3.3016228261038072</v>
      </c>
      <c r="F26" s="29">
        <f t="shared" si="7"/>
        <v>3.331622826103807</v>
      </c>
      <c r="G26" s="29">
        <f t="shared" si="7"/>
        <v>3.3616228261038068</v>
      </c>
      <c r="H26" s="29">
        <f t="shared" si="7"/>
        <v>3.3916228261038066</v>
      </c>
      <c r="I26" s="29">
        <f t="shared" si="7"/>
        <v>3.4216228261038064</v>
      </c>
      <c r="J26" s="29">
        <f t="shared" si="7"/>
        <v>3.4516228261038062</v>
      </c>
      <c r="K26" s="29">
        <f t="shared" si="7"/>
        <v>3.481622826103806</v>
      </c>
      <c r="L26" s="29"/>
      <c r="M26" s="11">
        <f t="shared" si="0"/>
        <v>2014</v>
      </c>
      <c r="N26" s="10">
        <v>41974</v>
      </c>
      <c r="O26" s="43">
        <f>INDEX('Summary_Population World_USA'!$C$3:$J$117,MATCH($N26,'Summary_Population World_USA'!$A$3:$A$117,0),MATCH(O$3,'Summary_Population World_USA'!$C$2:$J$2,0))</f>
        <v>181.72681825159779</v>
      </c>
      <c r="P26" s="43">
        <f>INDEX('Summary_Population World_USA'!$L$3:$S$117,MATCH($N26,'Summary_Population World_USA'!$A$3:$A$117,0),MATCH($P$3,'Summary_Population World_USA'!$L$2:$S$2,0))</f>
        <v>56.94106971883398</v>
      </c>
    </row>
    <row r="27" spans="1:16" x14ac:dyDescent="0.25">
      <c r="M27" s="11">
        <f t="shared" si="0"/>
        <v>2015</v>
      </c>
      <c r="N27" s="10">
        <v>42005</v>
      </c>
      <c r="O27" s="43">
        <f>INDEX('Summary_Population World_USA'!$C$3:$J$117,MATCH($N27,'Summary_Population World_USA'!$A$3:$A$117,0),MATCH(O$3,'Summary_Population World_USA'!$C$2:$J$2,0))</f>
        <v>184.48629589218893</v>
      </c>
      <c r="P27" s="43">
        <f>INDEX('Summary_Population World_USA'!$L$3:$S$117,MATCH($N27,'Summary_Population World_USA'!$A$3:$A$117,0),MATCH($P$3,'Summary_Population World_USA'!$L$2:$S$2,0))</f>
        <v>54.730934448016058</v>
      </c>
    </row>
    <row r="28" spans="1:16" x14ac:dyDescent="0.25">
      <c r="A28" s="6" t="s">
        <v>82</v>
      </c>
      <c r="B28" s="32">
        <f>(B23*B25+B24*B26)/$B$13*7/12</f>
        <v>62.348416205249428</v>
      </c>
      <c r="C28" s="32">
        <f t="shared" ref="C28:K28" si="8">(C23*C25+C24*C26)/$B$13</f>
        <v>122.36296214916223</v>
      </c>
      <c r="D28" s="32">
        <f t="shared" si="8"/>
        <v>145.1207487914931</v>
      </c>
      <c r="E28" s="32">
        <f t="shared" si="8"/>
        <v>171.85232495198827</v>
      </c>
      <c r="F28" s="32">
        <f t="shared" si="8"/>
        <v>203.19119416864908</v>
      </c>
      <c r="G28" s="32">
        <f t="shared" si="8"/>
        <v>239.85641728468448</v>
      </c>
      <c r="H28" s="32">
        <f t="shared" si="8"/>
        <v>282.65976536792652</v>
      </c>
      <c r="I28" s="32">
        <f t="shared" si="8"/>
        <v>332.51197508880443</v>
      </c>
      <c r="J28" s="32">
        <f t="shared" si="8"/>
        <v>390.42739601694325</v>
      </c>
      <c r="K28" s="32">
        <f t="shared" si="8"/>
        <v>457.52605826943869</v>
      </c>
      <c r="L28" s="32"/>
      <c r="M28" s="11">
        <f t="shared" si="0"/>
        <v>2015</v>
      </c>
      <c r="N28" s="10">
        <v>42036</v>
      </c>
      <c r="O28" s="43">
        <f>INDEX('Summary_Population World_USA'!$C$3:$J$117,MATCH($N28,'Summary_Population World_USA'!$A$3:$A$117,0),MATCH(O$3,'Summary_Population World_USA'!$C$2:$J$2,0))</f>
        <v>187.28767553118726</v>
      </c>
      <c r="P28" s="43">
        <f>INDEX('Summary_Population World_USA'!$L$3:$S$117,MATCH($N28,'Summary_Population World_USA'!$A$3:$A$117,0),MATCH($P$3,'Summary_Population World_USA'!$L$2:$S$2,0))</f>
        <v>55.562010407585561</v>
      </c>
    </row>
    <row r="29" spans="1:16" x14ac:dyDescent="0.25">
      <c r="A29" s="6" t="s">
        <v>83</v>
      </c>
      <c r="B29" s="33">
        <f>B28*$B$12</f>
        <v>19.749586740589915</v>
      </c>
      <c r="C29" s="33">
        <f t="shared" ref="C29:K29" si="9">C28*$B$12</f>
        <v>38.759892903212716</v>
      </c>
      <c r="D29" s="33">
        <f t="shared" si="9"/>
        <v>45.96868678559381</v>
      </c>
      <c r="E29" s="33">
        <f t="shared" si="9"/>
        <v>54.436224763726685</v>
      </c>
      <c r="F29" s="33">
        <f t="shared" si="9"/>
        <v>64.363176459002219</v>
      </c>
      <c r="G29" s="33">
        <f t="shared" si="9"/>
        <v>75.977312765358889</v>
      </c>
      <c r="H29" s="33">
        <f t="shared" si="9"/>
        <v>89.535771619787297</v>
      </c>
      <c r="I29" s="33">
        <f t="shared" si="9"/>
        <v>105.32703946613339</v>
      </c>
      <c r="J29" s="33">
        <f t="shared" si="9"/>
        <v>123.67242334040333</v>
      </c>
      <c r="K29" s="33">
        <f t="shared" si="9"/>
        <v>144.92670582242783</v>
      </c>
      <c r="L29" s="33"/>
      <c r="M29" s="11">
        <f t="shared" si="0"/>
        <v>2015</v>
      </c>
      <c r="N29" s="10">
        <v>42064</v>
      </c>
      <c r="O29" s="43">
        <f>INDEX('Summary_Population World_USA'!$C$3:$J$117,MATCH($N29,'Summary_Population World_USA'!$A$3:$A$117,0),MATCH(O$3,'Summary_Population World_USA'!$C$2:$J$2,0))</f>
        <v>190.13159344027142</v>
      </c>
      <c r="P29" s="43">
        <f>INDEX('Summary_Population World_USA'!$L$3:$S$117,MATCH($N29,'Summary_Population World_USA'!$A$3:$A$117,0),MATCH($P$3,'Summary_Population World_USA'!$L$2:$S$2,0))</f>
        <v>56.405706053947192</v>
      </c>
    </row>
    <row r="30" spans="1:16" x14ac:dyDescent="0.25">
      <c r="A30" s="6" t="s">
        <v>84</v>
      </c>
      <c r="K30" s="32">
        <f>K29*(1+B15)/(B14-B15)</f>
        <v>2132.4929571014382</v>
      </c>
      <c r="L30" s="32"/>
      <c r="M30" s="11">
        <f t="shared" si="0"/>
        <v>2015</v>
      </c>
      <c r="N30" s="10">
        <v>42095</v>
      </c>
      <c r="O30" s="43">
        <f>INDEX('Summary_Population World_USA'!$C$3:$J$117,MATCH($N30,'Summary_Population World_USA'!$A$3:$A$117,0),MATCH(O$3,'Summary_Population World_USA'!$C$2:$J$2,0))</f>
        <v>193.01869555275107</v>
      </c>
      <c r="P30" s="43">
        <f>INDEX('Summary_Population World_USA'!$L$3:$S$117,MATCH($N30,'Summary_Population World_USA'!$A$3:$A$117,0),MATCH($P$3,'Summary_Population World_USA'!$L$2:$S$2,0))</f>
        <v>57.262213013982823</v>
      </c>
    </row>
    <row r="31" spans="1:16" ht="14.4" thickBot="1" x14ac:dyDescent="0.3">
      <c r="A31" s="6" t="s">
        <v>85</v>
      </c>
      <c r="B31" s="35">
        <f>(B29+B30)</f>
        <v>19.749586740589915</v>
      </c>
      <c r="C31" s="35">
        <f t="shared" ref="C31:K31" si="10">C29+C30</f>
        <v>38.759892903212716</v>
      </c>
      <c r="D31" s="35">
        <f t="shared" si="10"/>
        <v>45.96868678559381</v>
      </c>
      <c r="E31" s="35">
        <f t="shared" si="10"/>
        <v>54.436224763726685</v>
      </c>
      <c r="F31" s="35">
        <f t="shared" si="10"/>
        <v>64.363176459002219</v>
      </c>
      <c r="G31" s="35">
        <f t="shared" si="10"/>
        <v>75.977312765358889</v>
      </c>
      <c r="H31" s="35">
        <f t="shared" si="10"/>
        <v>89.535771619787297</v>
      </c>
      <c r="I31" s="35">
        <f t="shared" si="10"/>
        <v>105.32703946613339</v>
      </c>
      <c r="J31" s="35">
        <f t="shared" si="10"/>
        <v>123.67242334040333</v>
      </c>
      <c r="K31" s="35">
        <f t="shared" si="10"/>
        <v>2277.4196629238659</v>
      </c>
      <c r="L31" s="38"/>
      <c r="M31" s="11">
        <f t="shared" si="0"/>
        <v>2015</v>
      </c>
      <c r="N31" s="10">
        <v>42125</v>
      </c>
      <c r="O31" s="43">
        <f>INDEX('Summary_Population World_USA'!$C$3:$J$117,MATCH($N31,'Summary_Population World_USA'!$A$3:$A$117,0),MATCH(O$3,'Summary_Population World_USA'!$C$2:$J$2,0))</f>
        <v>195.94963761027648</v>
      </c>
      <c r="P31" s="43">
        <f>INDEX('Summary_Population World_USA'!$L$3:$S$117,MATCH($N31,'Summary_Population World_USA'!$A$3:$A$117,0),MATCH($P$3,'Summary_Population World_USA'!$L$2:$S$2,0))</f>
        <v>58.131725824382031</v>
      </c>
    </row>
    <row r="32" spans="1:16" ht="14.4" thickTop="1" x14ac:dyDescent="0.25">
      <c r="M32" s="11">
        <f t="shared" si="0"/>
        <v>2015</v>
      </c>
      <c r="N32" s="10">
        <v>42156</v>
      </c>
      <c r="O32" s="43">
        <f>INDEX('Summary_Population World_USA'!$C$3:$J$117,MATCH($N32,'Summary_Population World_USA'!$A$3:$A$117,0),MATCH(O$3,'Summary_Population World_USA'!$C$2:$J$2,0))</f>
        <v>198.92508531177577</v>
      </c>
      <c r="P32" s="43">
        <f>INDEX('Summary_Population World_USA'!$L$3:$S$117,MATCH($N32,'Summary_Population World_USA'!$A$3:$A$117,0),MATCH($P$3,'Summary_Population World_USA'!$L$2:$S$2,0))</f>
        <v>59.01444197582682</v>
      </c>
    </row>
    <row r="33" spans="1:16" x14ac:dyDescent="0.25">
      <c r="A33" s="36" t="s">
        <v>86</v>
      </c>
      <c r="B33" s="38">
        <f>NPV(B14,B31:K31)</f>
        <v>1230.1313466309173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11">
        <f t="shared" si="0"/>
        <v>2015</v>
      </c>
      <c r="N33" s="10">
        <v>42186</v>
      </c>
      <c r="O33" s="43">
        <f>INDEX('Summary_Population World_USA'!$C$3:$J$117,MATCH($N33,'Summary_Population World_USA'!$A$3:$A$117,0),MATCH(O$3,'Summary_Population World_USA'!$C$2:$J$2,0))</f>
        <v>201.94571446465375</v>
      </c>
      <c r="P33" s="43">
        <f>INDEX('Summary_Population World_USA'!$L$3:$S$117,MATCH($N33,'Summary_Population World_USA'!$A$3:$A$117,0),MATCH($P$3,'Summary_Population World_USA'!$L$2:$S$2,0))</f>
        <v>59.910561957847285</v>
      </c>
    </row>
    <row r="34" spans="1:16" x14ac:dyDescent="0.25">
      <c r="M34" s="11">
        <f t="shared" si="0"/>
        <v>2015</v>
      </c>
      <c r="N34" s="10">
        <v>42217</v>
      </c>
      <c r="O34" s="43">
        <f>INDEX('Summary_Population World_USA'!$C$3:$J$117,MATCH($N34,'Summary_Population World_USA'!$A$3:$A$117,0),MATCH(O$3,'Summary_Population World_USA'!$C$2:$J$2,0))</f>
        <v>205.01221113828666</v>
      </c>
      <c r="P34" s="43">
        <f>INDEX('Summary_Population World_USA'!$L$3:$S$117,MATCH($N34,'Summary_Population World_USA'!$A$3:$A$117,0),MATCH($P$3,'Summary_Population World_USA'!$L$2:$S$2,0))</f>
        <v>60.820289304358383</v>
      </c>
    </row>
    <row r="35" spans="1:16" x14ac:dyDescent="0.25">
      <c r="A35" s="6" t="s">
        <v>87</v>
      </c>
      <c r="M35" s="11">
        <f t="shared" si="0"/>
        <v>2015</v>
      </c>
      <c r="N35" s="10">
        <v>42248</v>
      </c>
      <c r="O35" s="43">
        <f>INDEX('Summary_Population World_USA'!$C$3:$J$117,MATCH($N35,'Summary_Population World_USA'!$A$3:$A$117,0),MATCH(O$3,'Summary_Population World_USA'!$C$2:$J$2,0))</f>
        <v>208.12527181984777</v>
      </c>
      <c r="P35" s="43">
        <f>INDEX('Summary_Population World_USA'!$L$3:$S$117,MATCH($N35,'Summary_Population World_USA'!$A$3:$A$117,0),MATCH($P$3,'Summary_Population World_USA'!$L$2:$S$2,0))</f>
        <v>61.743830639888174</v>
      </c>
    </row>
    <row r="36" spans="1:16" x14ac:dyDescent="0.25">
      <c r="M36" s="11">
        <f t="shared" si="0"/>
        <v>2015</v>
      </c>
      <c r="N36" s="10">
        <v>42278</v>
      </c>
      <c r="O36" s="43">
        <f>INDEX('Summary_Population World_USA'!$C$3:$J$117,MATCH($N36,'Summary_Population World_USA'!$A$3:$A$117,0),MATCH(O$3,'Summary_Population World_USA'!$C$2:$J$2,0))</f>
        <v>211.2856035724991</v>
      </c>
      <c r="P36" s="43">
        <f>INDEX('Summary_Population World_USA'!$L$3:$S$117,MATCH($N36,'Summary_Population World_USA'!$A$3:$A$117,0),MATCH($P$3,'Summary_Population World_USA'!$L$2:$S$2,0))</f>
        <v>62.681395726508072</v>
      </c>
    </row>
    <row r="37" spans="1:16" ht="16.8" x14ac:dyDescent="0.25">
      <c r="A37" s="6" t="s">
        <v>88</v>
      </c>
      <c r="M37" s="11">
        <f t="shared" si="0"/>
        <v>2015</v>
      </c>
      <c r="N37" s="10">
        <v>42309</v>
      </c>
      <c r="O37" s="43">
        <f>INDEX('Summary_Population World_USA'!$C$3:$J$117,MATCH($N37,'Summary_Population World_USA'!$A$3:$A$117,0),MATCH(O$3,'Summary_Population World_USA'!$C$2:$J$2,0))</f>
        <v>214.49392419598522</v>
      </c>
      <c r="P37" s="43">
        <f>INDEX('Summary_Population World_USA'!$L$3:$S$117,MATCH($N37,'Summary_Population World_USA'!$A$3:$A$117,0),MATCH($P$3,'Summary_Population World_USA'!$L$2:$S$2,0))</f>
        <v>63.633197511475622</v>
      </c>
    </row>
    <row r="38" spans="1:16" x14ac:dyDescent="0.25">
      <c r="A38" s="6" t="s">
        <v>89</v>
      </c>
      <c r="M38" s="11">
        <f t="shared" si="0"/>
        <v>2015</v>
      </c>
      <c r="N38" s="10">
        <v>42339</v>
      </c>
      <c r="O38" s="43">
        <f>INDEX('Summary_Population World_USA'!$C$3:$J$117,MATCH($N38,'Summary_Population World_USA'!$A$3:$A$117,0),MATCH(O$3,'Summary_Population World_USA'!$C$2:$J$2,0))</f>
        <v>217.75096238966563</v>
      </c>
      <c r="P38" s="43">
        <f>INDEX('Summary_Population World_USA'!$L$3:$S$117,MATCH($N38,'Summary_Population World_USA'!$A$3:$A$117,0),MATCH($P$3,'Summary_Population World_USA'!$L$2:$S$2,0))</f>
        <v>64.599452175600803</v>
      </c>
    </row>
    <row r="39" spans="1:16" x14ac:dyDescent="0.25">
      <c r="M39" s="11">
        <f t="shared" si="0"/>
        <v>2016</v>
      </c>
      <c r="N39" s="10">
        <v>42370</v>
      </c>
      <c r="O39" s="43">
        <f>INDEX('Summary_Population World_USA'!$C$3:$J$117,MATCH($N39,'Summary_Population World_USA'!$A$3:$A$117,0),MATCH(O$3,'Summary_Population World_USA'!$C$2:$J$2,0))</f>
        <v>221.05745791802281</v>
      </c>
      <c r="P39" s="43">
        <f>INDEX('Summary_Population World_USA'!$L$3:$S$117,MATCH($N39,'Summary_Population World_USA'!$A$3:$A$117,0),MATCH($P$3,'Summary_Population World_USA'!$L$2:$S$2,0))</f>
        <v>61.89608821704639</v>
      </c>
    </row>
    <row r="40" spans="1:16" x14ac:dyDescent="0.25">
      <c r="A40" s="6" t="s">
        <v>90</v>
      </c>
      <c r="M40" s="11">
        <f t="shared" si="0"/>
        <v>2016</v>
      </c>
      <c r="N40" s="10">
        <v>42401</v>
      </c>
      <c r="O40" s="43">
        <f>INDEX('Summary_Population World_USA'!$C$3:$J$117,MATCH($N40,'Summary_Population World_USA'!$A$3:$A$117,0),MATCH(O$3,'Summary_Population World_USA'!$C$2:$J$2,0))</f>
        <v>224.41416177868339</v>
      </c>
      <c r="P40" s="43">
        <f>INDEX('Summary_Population World_USA'!$L$3:$S$117,MATCH($N40,'Summary_Population World_USA'!$A$3:$A$117,0),MATCH($P$3,'Summary_Population World_USA'!$L$2:$S$2,0))</f>
        <v>62.835965298031354</v>
      </c>
    </row>
    <row r="41" spans="1:16" x14ac:dyDescent="0.25">
      <c r="B41" s="76" t="s">
        <v>1300</v>
      </c>
      <c r="C41" s="77"/>
      <c r="M41" s="11">
        <f t="shared" si="0"/>
        <v>2016</v>
      </c>
      <c r="N41" s="10">
        <v>42430</v>
      </c>
      <c r="O41" s="43">
        <f>INDEX('Summary_Population World_USA'!$C$3:$J$117,MATCH($N41,'Summary_Population World_USA'!$A$3:$A$117,0),MATCH(O$3,'Summary_Population World_USA'!$C$2:$J$2,0))</f>
        <v>227.82183637299076</v>
      </c>
      <c r="P41" s="43">
        <f>INDEX('Summary_Population World_USA'!$L$3:$S$117,MATCH($N41,'Summary_Population World_USA'!$A$3:$A$117,0),MATCH($P$3,'Summary_Population World_USA'!$L$2:$S$2,0))</f>
        <v>63.790114184437421</v>
      </c>
    </row>
    <row r="42" spans="1:16" ht="27.6" x14ac:dyDescent="0.25">
      <c r="A42" s="62" t="s">
        <v>1301</v>
      </c>
      <c r="B42" s="67" t="s">
        <v>1304</v>
      </c>
      <c r="C42" s="66" t="s">
        <v>1303</v>
      </c>
      <c r="M42" s="11">
        <f t="shared" si="0"/>
        <v>2016</v>
      </c>
      <c r="N42" s="10">
        <v>42461</v>
      </c>
      <c r="O42" s="43">
        <f>INDEX('Summary_Population World_USA'!$C$3:$J$117,MATCH($N42,'Summary_Population World_USA'!$A$3:$A$117,0),MATCH(O$3,'Summary_Population World_USA'!$C$2:$J$2,0))</f>
        <v>231.28125567916769</v>
      </c>
      <c r="P42" s="43">
        <f>INDEX('Summary_Population World_USA'!$L$3:$S$117,MATCH($N42,'Summary_Population World_USA'!$A$3:$A$117,0),MATCH($P$3,'Summary_Population World_USA'!$L$2:$S$2,0))</f>
        <v>64.758751590166952</v>
      </c>
    </row>
    <row r="43" spans="1:16" x14ac:dyDescent="0.25">
      <c r="A43" s="64" t="s">
        <v>378</v>
      </c>
      <c r="B43" s="68">
        <v>1230.1313466309173</v>
      </c>
      <c r="C43" s="65"/>
      <c r="M43" s="11">
        <f t="shared" si="0"/>
        <v>2016</v>
      </c>
      <c r="N43" s="10">
        <v>42491</v>
      </c>
      <c r="O43" s="43">
        <f>INDEX('Summary_Population World_USA'!$C$3:$J$117,MATCH($N43,'Summary_Population World_USA'!$A$3:$A$117,0),MATCH(O$3,'Summary_Population World_USA'!$C$2:$J$2,0))</f>
        <v>234.79320542810848</v>
      </c>
      <c r="P43" s="43">
        <f>INDEX('Summary_Population World_USA'!$L$3:$S$117,MATCH($N43,'Summary_Population World_USA'!$A$3:$A$117,0),MATCH($P$3,'Summary_Population World_USA'!$L$2:$S$2,0))</f>
        <v>65.742097519870384</v>
      </c>
    </row>
    <row r="44" spans="1:16" x14ac:dyDescent="0.25">
      <c r="A44" s="63" t="s">
        <v>1541</v>
      </c>
      <c r="B44" s="68">
        <v>56269.49378825356</v>
      </c>
      <c r="C44" s="65">
        <v>63736.360351054682</v>
      </c>
      <c r="M44" s="11">
        <f t="shared" si="0"/>
        <v>2016</v>
      </c>
      <c r="N44" s="10">
        <v>42522</v>
      </c>
      <c r="O44" s="43">
        <f>INDEX('Summary_Population World_USA'!$C$3:$J$117,MATCH($N44,'Summary_Population World_USA'!$A$3:$A$117,0),MATCH(O$3,'Summary_Population World_USA'!$C$2:$J$2,0))</f>
        <v>238.35848328184039</v>
      </c>
      <c r="P44" s="43">
        <f>INDEX('Summary_Population World_USA'!$L$3:$S$117,MATCH($N44,'Summary_Population World_USA'!$A$3:$A$117,0),MATCH($P$3,'Summary_Population World_USA'!$L$2:$S$2,0))</f>
        <v>66.740375318915312</v>
      </c>
    </row>
    <row r="45" spans="1:16" x14ac:dyDescent="0.25">
      <c r="A45" s="63" t="s">
        <v>1542</v>
      </c>
      <c r="B45" s="68">
        <v>932.64140210113499</v>
      </c>
      <c r="C45" s="65">
        <v>1230.1313466309173</v>
      </c>
      <c r="M45" s="11">
        <f t="shared" si="0"/>
        <v>2016</v>
      </c>
      <c r="N45" s="10">
        <v>42552</v>
      </c>
      <c r="O45" s="43">
        <f>INDEX('Summary_Population World_USA'!$C$3:$J$117,MATCH($N45,'Summary_Population World_USA'!$A$3:$A$117,0),MATCH(O$3,'Summary_Population World_USA'!$C$2:$J$2,0))</f>
        <v>241.97789901469508</v>
      </c>
      <c r="P45" s="43">
        <f>INDEX('Summary_Population World_USA'!$L$3:$S$117,MATCH($N45,'Summary_Population World_USA'!$A$3:$A$117,0),MATCH($P$3,'Summary_Population World_USA'!$L$2:$S$2,0))</f>
        <v>67.753811724114627</v>
      </c>
    </row>
    <row r="46" spans="1:16" x14ac:dyDescent="0.25">
      <c r="A46" s="63" t="s">
        <v>370</v>
      </c>
      <c r="B46" s="68">
        <v>593.88252738148503</v>
      </c>
      <c r="C46" s="65">
        <v>478.5776193677633</v>
      </c>
      <c r="M46" s="11">
        <f t="shared" si="0"/>
        <v>2016</v>
      </c>
      <c r="N46" s="10">
        <v>42583</v>
      </c>
      <c r="O46" s="43">
        <f>INDEX('Summary_Population World_USA'!$C$3:$J$117,MATCH($N46,'Summary_Population World_USA'!$A$3:$A$117,0),MATCH(O$3,'Summary_Population World_USA'!$C$2:$J$2,0))</f>
        <v>245.65227469723087</v>
      </c>
      <c r="P46" s="43">
        <f>INDEX('Summary_Population World_USA'!$L$3:$S$117,MATCH($N46,'Summary_Population World_USA'!$A$3:$A$117,0),MATCH($P$3,'Summary_Population World_USA'!$L$2:$S$2,0))</f>
        <v>68.782636915224643</v>
      </c>
    </row>
    <row r="47" spans="1:16" x14ac:dyDescent="0.25">
      <c r="A47" s="63" t="s">
        <v>371</v>
      </c>
      <c r="B47" s="68">
        <v>603.99280545727129</v>
      </c>
      <c r="C47" s="65">
        <v>526.25191346504994</v>
      </c>
      <c r="M47" s="11">
        <f t="shared" si="0"/>
        <v>2016</v>
      </c>
      <c r="N47" s="10">
        <v>42614</v>
      </c>
      <c r="O47" s="43">
        <f>INDEX('Summary_Population World_USA'!$C$3:$J$117,MATCH($N47,'Summary_Population World_USA'!$A$3:$A$117,0),MATCH(O$3,'Summary_Population World_USA'!$C$2:$J$2,0))</f>
        <v>249.38244488294808</v>
      </c>
      <c r="P47" s="43">
        <f>INDEX('Summary_Population World_USA'!$L$3:$S$117,MATCH($N47,'Summary_Population World_USA'!$A$3:$A$117,0),MATCH($P$3,'Summary_Population World_USA'!$L$2:$S$2,0))</f>
        <v>69.827084567225469</v>
      </c>
    </row>
    <row r="48" spans="1:16" x14ac:dyDescent="0.25">
      <c r="A48" s="63" t="s">
        <v>373</v>
      </c>
      <c r="B48" s="68">
        <v>522.0052810082808</v>
      </c>
      <c r="C48" s="65">
        <v>454.24774715581862</v>
      </c>
      <c r="M48" s="11">
        <f t="shared" si="0"/>
        <v>2016</v>
      </c>
      <c r="N48" s="10">
        <v>42644</v>
      </c>
      <c r="O48" s="43">
        <f>INDEX('Summary_Population World_USA'!$C$3:$J$117,MATCH($N48,'Summary_Population World_USA'!$A$3:$A$117,0),MATCH(O$3,'Summary_Population World_USA'!$C$2:$J$2,0))</f>
        <v>253.16925679783944</v>
      </c>
      <c r="P48" s="43">
        <f>INDEX('Summary_Population World_USA'!$L$3:$S$117,MATCH($N48,'Summary_Population World_USA'!$A$3:$A$117,0),MATCH($P$3,'Summary_Population World_USA'!$L$2:$S$2,0))</f>
        <v>70.887391903395056</v>
      </c>
    </row>
    <row r="49" spans="1:16" x14ac:dyDescent="0.25">
      <c r="A49" s="63" t="s">
        <v>374</v>
      </c>
      <c r="B49" s="68">
        <v>1145.7902300378116</v>
      </c>
      <c r="C49" s="65">
        <v>929.66590104086902</v>
      </c>
      <c r="M49" s="11">
        <f t="shared" si="0"/>
        <v>2016</v>
      </c>
      <c r="N49" s="10">
        <v>42675</v>
      </c>
      <c r="O49" s="43">
        <f>INDEX('Summary_Population World_USA'!$C$3:$J$117,MATCH($N49,'Summary_Population World_USA'!$A$3:$A$117,0),MATCH(O$3,'Summary_Population World_USA'!$C$2:$J$2,0))</f>
        <v>257.01357053281879</v>
      </c>
      <c r="P49" s="43">
        <f>INDEX('Summary_Population World_USA'!$L$3:$S$117,MATCH($N49,'Summary_Population World_USA'!$A$3:$A$117,0),MATCH($P$3,'Summary_Population World_USA'!$L$2:$S$2,0))</f>
        <v>71.963799749189263</v>
      </c>
    </row>
    <row r="50" spans="1:16" x14ac:dyDescent="0.25">
      <c r="M50" s="11">
        <f t="shared" si="0"/>
        <v>2016</v>
      </c>
      <c r="N50" s="10">
        <v>42705</v>
      </c>
      <c r="O50" s="43">
        <f>INDEX('Summary_Population World_USA'!$C$3:$J$117,MATCH($N50,'Summary_Population World_USA'!$A$3:$A$117,0),MATCH(O$3,'Summary_Population World_USA'!$C$2:$J$2,0))</f>
        <v>260.91625923907185</v>
      </c>
      <c r="P50" s="43">
        <f>INDEX('Summary_Population World_USA'!$L$3:$S$117,MATCH($N50,'Summary_Population World_USA'!$A$3:$A$117,0),MATCH($P$3,'Summary_Population World_USA'!$L$2:$S$2,0))</f>
        <v>73.056552586940128</v>
      </c>
    </row>
    <row r="51" spans="1:16" x14ac:dyDescent="0.25">
      <c r="M51" s="11">
        <f t="shared" si="0"/>
        <v>2017</v>
      </c>
      <c r="N51" s="10">
        <v>42736</v>
      </c>
      <c r="O51" s="43">
        <f>INDEX('Summary_Population World_USA'!$C$3:$J$117,MATCH($N51,'Summary_Population World_USA'!$A$3:$A$117,0),MATCH(O$3,'Summary_Population World_USA'!$C$2:$J$2,0))</f>
        <v>264.87820932637311</v>
      </c>
      <c r="P51" s="43">
        <f>INDEX('Summary_Population World_USA'!$L$3:$S$117,MATCH($N51,'Summary_Population World_USA'!$A$3:$A$117,0),MATCH($P$3,'Summary_Population World_USA'!$L$2:$S$2,0))</f>
        <v>69.75126178927826</v>
      </c>
    </row>
    <row r="52" spans="1:16" x14ac:dyDescent="0.25">
      <c r="M52" s="11">
        <f t="shared" si="0"/>
        <v>2017</v>
      </c>
      <c r="N52" s="10">
        <v>42767</v>
      </c>
      <c r="O52" s="43">
        <f>INDEX('Summary_Population World_USA'!$C$3:$J$117,MATCH($N52,'Summary_Population World_USA'!$A$3:$A$117,0),MATCH(O$3,'Summary_Population World_USA'!$C$2:$J$2,0))</f>
        <v>268.90032066441455</v>
      </c>
      <c r="P52" s="43">
        <f>INDEX('Summary_Population World_USA'!$L$3:$S$117,MATCH($N52,'Summary_Population World_USA'!$A$3:$A$117,0),MATCH($P$3,'Summary_Population World_USA'!$L$2:$S$2,0))</f>
        <v>70.810417774962502</v>
      </c>
    </row>
    <row r="53" spans="1:16" x14ac:dyDescent="0.25">
      <c r="M53" s="11">
        <f t="shared" si="0"/>
        <v>2017</v>
      </c>
      <c r="N53" s="10">
        <v>42795</v>
      </c>
      <c r="O53" s="43">
        <f>INDEX('Summary_Population World_USA'!$C$3:$J$117,MATCH($N53,'Summary_Population World_USA'!$A$3:$A$117,0),MATCH(O$3,'Summary_Population World_USA'!$C$2:$J$2,0))</f>
        <v>272.983506787191</v>
      </c>
      <c r="P53" s="43">
        <f>INDEX('Summary_Population World_USA'!$L$3:$S$117,MATCH($N53,'Summary_Population World_USA'!$A$3:$A$117,0),MATCH($P$3,'Summary_Population World_USA'!$L$2:$S$2,0))</f>
        <v>71.885656787293641</v>
      </c>
    </row>
    <row r="54" spans="1:16" x14ac:dyDescent="0.25">
      <c r="M54" s="11">
        <f t="shared" si="0"/>
        <v>2017</v>
      </c>
      <c r="N54" s="10">
        <v>42826</v>
      </c>
      <c r="O54" s="43">
        <f>INDEX('Summary_Population World_USA'!$C$3:$J$117,MATCH($N54,'Summary_Population World_USA'!$A$3:$A$117,0),MATCH(O$3,'Summary_Population World_USA'!$C$2:$J$2,0))</f>
        <v>277.12869510048932</v>
      </c>
      <c r="P54" s="43">
        <f>INDEX('Summary_Population World_USA'!$L$3:$S$117,MATCH($N54,'Summary_Population World_USA'!$A$3:$A$117,0),MATCH($P$3,'Summary_Population World_USA'!$L$2:$S$2,0))</f>
        <v>72.977223043128859</v>
      </c>
    </row>
    <row r="55" spans="1:16" x14ac:dyDescent="0.25">
      <c r="B55" s="33"/>
      <c r="M55" s="11">
        <f t="shared" si="0"/>
        <v>2017</v>
      </c>
      <c r="N55" s="10">
        <v>42856</v>
      </c>
      <c r="O55" s="43">
        <f>INDEX('Summary_Population World_USA'!$C$3:$J$117,MATCH($N55,'Summary_Population World_USA'!$A$3:$A$117,0),MATCH(O$3,'Summary_Population World_USA'!$C$2:$J$2,0))</f>
        <v>281.33682709252832</v>
      </c>
      <c r="P55" s="43">
        <f>INDEX('Summary_Population World_USA'!$L$3:$S$117,MATCH($N55,'Summary_Population World_USA'!$A$3:$A$117,0),MATCH($P$3,'Summary_Population World_USA'!$L$2:$S$2,0))</f>
        <v>74.085364467699137</v>
      </c>
    </row>
    <row r="56" spans="1:16" x14ac:dyDescent="0.25">
      <c r="B56" s="33"/>
      <c r="M56" s="11">
        <f t="shared" si="0"/>
        <v>2017</v>
      </c>
      <c r="N56" s="10">
        <v>42887</v>
      </c>
      <c r="O56" s="43">
        <f>INDEX('Summary_Population World_USA'!$C$3:$J$117,MATCH($N56,'Summary_Population World_USA'!$A$3:$A$117,0),MATCH(O$3,'Summary_Population World_USA'!$C$2:$J$2,0))</f>
        <v>285.60885854779684</v>
      </c>
      <c r="P56" s="43">
        <f>INDEX('Summary_Population World_USA'!$L$3:$S$117,MATCH($N56,'Summary_Population World_USA'!$A$3:$A$117,0),MATCH($P$3,'Summary_Population World_USA'!$L$2:$S$2,0))</f>
        <v>75.210332750919846</v>
      </c>
    </row>
    <row r="57" spans="1:16" x14ac:dyDescent="0.25">
      <c r="B57" s="33"/>
      <c r="M57" s="11">
        <f t="shared" si="0"/>
        <v>2017</v>
      </c>
      <c r="N57" s="10">
        <v>42917</v>
      </c>
      <c r="O57" s="43">
        <f>INDEX('Summary_Population World_USA'!$C$3:$J$117,MATCH($N57,'Summary_Population World_USA'!$A$3:$A$117,0),MATCH(O$3,'Summary_Population World_USA'!$C$2:$J$2,0))</f>
        <v>289.94575976413932</v>
      </c>
      <c r="P57" s="43">
        <f>INDEX('Summary_Population World_USA'!$L$3:$S$117,MATCH($N57,'Summary_Population World_USA'!$A$3:$A$117,0),MATCH($P$3,'Summary_Population World_USA'!$L$2:$S$2,0))</f>
        <v>76.352383404556704</v>
      </c>
    </row>
    <row r="58" spans="1:16" x14ac:dyDescent="0.25">
      <c r="B58" s="33"/>
      <c r="M58" s="11">
        <f t="shared" si="0"/>
        <v>2017</v>
      </c>
      <c r="N58" s="10">
        <v>42948</v>
      </c>
      <c r="O58" s="43">
        <f>INDEX('Summary_Population World_USA'!$C$3:$J$117,MATCH($N58,'Summary_Population World_USA'!$A$3:$A$117,0),MATCH(O$3,'Summary_Population World_USA'!$C$2:$J$2,0))</f>
        <v>294.34851577313759</v>
      </c>
      <c r="P58" s="43">
        <f>INDEX('Summary_Population World_USA'!$L$3:$S$117,MATCH($N58,'Summary_Population World_USA'!$A$3:$A$117,0),MATCH($P$3,'Summary_Population World_USA'!$L$2:$S$2,0))</f>
        <v>77.511775820259572</v>
      </c>
    </row>
    <row r="59" spans="1:16" x14ac:dyDescent="0.25">
      <c r="B59" s="33"/>
      <c r="M59" s="11">
        <f t="shared" si="0"/>
        <v>2017</v>
      </c>
      <c r="N59" s="10">
        <v>42979</v>
      </c>
      <c r="O59" s="43">
        <f>INDEX('Summary_Population World_USA'!$C$3:$J$117,MATCH($N59,'Summary_Population World_USA'!$A$3:$A$117,0),MATCH(O$3,'Summary_Population World_USA'!$C$2:$J$2,0))</f>
        <v>298.81812656383892</v>
      </c>
      <c r="P59" s="43">
        <f>INDEX('Summary_Population World_USA'!$L$3:$S$117,MATCH($N59,'Summary_Population World_USA'!$A$3:$A$117,0),MATCH($P$3,'Summary_Population World_USA'!$L$2:$S$2,0))</f>
        <v>78.688773328477595</v>
      </c>
    </row>
    <row r="60" spans="1:16" x14ac:dyDescent="0.25">
      <c r="B60" s="33"/>
      <c r="M60" s="11">
        <f t="shared" si="0"/>
        <v>2017</v>
      </c>
      <c r="N60" s="10">
        <v>43009</v>
      </c>
      <c r="O60" s="43">
        <f>INDEX('Summary_Population World_USA'!$C$3:$J$117,MATCH($N60,'Summary_Population World_USA'!$A$3:$A$117,0),MATCH(O$3,'Summary_Population World_USA'!$C$2:$J$2,0))</f>
        <v>303.35560730988175</v>
      </c>
      <c r="P60" s="43">
        <f>INDEX('Summary_Population World_USA'!$L$3:$S$117,MATCH($N60,'Summary_Population World_USA'!$A$3:$A$117,0),MATCH($P$3,'Summary_Population World_USA'!$L$2:$S$2,0))</f>
        <v>79.883643258268876</v>
      </c>
    </row>
    <row r="61" spans="1:16" x14ac:dyDescent="0.25">
      <c r="B61" s="33"/>
      <c r="M61" s="11">
        <f t="shared" si="0"/>
        <v>2017</v>
      </c>
      <c r="N61" s="10">
        <v>43040</v>
      </c>
      <c r="O61" s="43">
        <f>INDEX('Summary_Population World_USA'!$C$3:$J$117,MATCH($N61,'Summary_Population World_USA'!$A$3:$A$117,0),MATCH(O$3,'Summary_Population World_USA'!$C$2:$J$2,0))</f>
        <v>307.96198860006979</v>
      </c>
      <c r="P61" s="43">
        <f>INDEX('Summary_Population World_USA'!$L$3:$S$117,MATCH($N61,'Summary_Population World_USA'!$A$3:$A$117,0),MATCH($P$3,'Summary_Population World_USA'!$L$2:$S$2,0))</f>
        <v>81.096656998018389</v>
      </c>
    </row>
    <row r="62" spans="1:16" x14ac:dyDescent="0.25">
      <c r="B62" s="33"/>
      <c r="M62" s="11">
        <f t="shared" si="0"/>
        <v>2017</v>
      </c>
      <c r="N62" s="10">
        <v>43070</v>
      </c>
      <c r="O62" s="43">
        <f>INDEX('Summary_Population World_USA'!$C$3:$J$117,MATCH($N62,'Summary_Population World_USA'!$A$3:$A$117,0),MATCH(O$3,'Summary_Population World_USA'!$C$2:$J$2,0))</f>
        <v>312.63831667244779</v>
      </c>
      <c r="P62" s="43">
        <f>INDEX('Summary_Population World_USA'!$L$3:$S$117,MATCH($N62,'Summary_Population World_USA'!$A$3:$A$117,0),MATCH($P$3,'Summary_Population World_USA'!$L$2:$S$2,0))</f>
        <v>82.328090057077929</v>
      </c>
    </row>
    <row r="63" spans="1:16" x14ac:dyDescent="0.25">
      <c r="M63" s="11">
        <f t="shared" si="0"/>
        <v>2018</v>
      </c>
      <c r="N63" s="10">
        <v>43101</v>
      </c>
      <c r="O63" s="43">
        <f>INDEX('Summary_Population World_USA'!$C$3:$J$117,MATCH($N63,'Summary_Population World_USA'!$A$3:$A$117,0),MATCH(O$3,'Summary_Population World_USA'!$C$2:$J$2,0))</f>
        <v>317.38565365193119</v>
      </c>
      <c r="P63" s="43">
        <f>INDEX('Summary_Population World_USA'!$L$3:$S$117,MATCH($N63,'Summary_Population World_USA'!$A$3:$A$117,0),MATCH($P$3,'Summary_Population World_USA'!$L$2:$S$2,0))</f>
        <v>78.288461234143043</v>
      </c>
    </row>
    <row r="64" spans="1:16" x14ac:dyDescent="0.25">
      <c r="M64" s="11">
        <f t="shared" si="0"/>
        <v>2018</v>
      </c>
      <c r="N64" s="10">
        <v>43132</v>
      </c>
      <c r="O64" s="43">
        <f>INDEX('Summary_Population World_USA'!$C$3:$J$117,MATCH($N64,'Summary_Population World_USA'!$A$3:$A$117,0),MATCH(O$3,'Summary_Population World_USA'!$C$2:$J$2,0))</f>
        <v>322.20507779154474</v>
      </c>
      <c r="P64" s="43">
        <f>INDEX('Summary_Population World_USA'!$L$3:$S$117,MATCH($N64,'Summary_Population World_USA'!$A$3:$A$117,0),MATCH($P$3,'Summary_Population World_USA'!$L$2:$S$2,0))</f>
        <v>79.47725252191438</v>
      </c>
    </row>
    <row r="65" spans="13:16" x14ac:dyDescent="0.25">
      <c r="M65" s="11">
        <f t="shared" si="0"/>
        <v>2018</v>
      </c>
      <c r="N65" s="10">
        <v>43160</v>
      </c>
      <c r="O65" s="43">
        <f>INDEX('Summary_Population World_USA'!$C$3:$J$117,MATCH($N65,'Summary_Population World_USA'!$A$3:$A$117,0),MATCH(O$3,'Summary_Population World_USA'!$C$2:$J$2,0))</f>
        <v>327.09768371732355</v>
      </c>
      <c r="P65" s="43">
        <f>INDEX('Summary_Population World_USA'!$L$3:$S$117,MATCH($N65,'Summary_Population World_USA'!$A$3:$A$117,0),MATCH($P$3,'Summary_Population World_USA'!$L$2:$S$2,0))</f>
        <v>80.684095316939818</v>
      </c>
    </row>
    <row r="66" spans="13:16" x14ac:dyDescent="0.25">
      <c r="M66" s="11">
        <f t="shared" si="0"/>
        <v>2018</v>
      </c>
      <c r="N66" s="10">
        <v>43191</v>
      </c>
      <c r="O66" s="43">
        <f>INDEX('Summary_Population World_USA'!$C$3:$J$117,MATCH($N66,'Summary_Population World_USA'!$A$3:$A$117,0),MATCH(O$3,'Summary_Population World_USA'!$C$2:$J$2,0))</f>
        <v>332.06458267693364</v>
      </c>
      <c r="P66" s="43">
        <f>INDEX('Summary_Population World_USA'!$L$3:$S$117,MATCH($N66,'Summary_Population World_USA'!$A$3:$A$117,0),MATCH($P$3,'Summary_Population World_USA'!$L$2:$S$2,0))</f>
        <v>81.909263726976974</v>
      </c>
    </row>
    <row r="67" spans="13:16" x14ac:dyDescent="0.25">
      <c r="M67" s="11">
        <f t="shared" si="0"/>
        <v>2018</v>
      </c>
      <c r="N67" s="10">
        <v>43221</v>
      </c>
      <c r="O67" s="43">
        <f>INDEX('Summary_Population World_USA'!$C$3:$J$117,MATCH($N67,'Summary_Population World_USA'!$A$3:$A$117,0),MATCH(O$3,'Summary_Population World_USA'!$C$2:$J$2,0))</f>
        <v>337.10690279206705</v>
      </c>
      <c r="P67" s="43">
        <f>INDEX('Summary_Population World_USA'!$L$3:$S$117,MATCH($N67,'Summary_Population World_USA'!$A$3:$A$117,0),MATCH($P$3,'Summary_Population World_USA'!$L$2:$S$2,0))</f>
        <v>83.15303602204321</v>
      </c>
    </row>
    <row r="68" spans="13:16" x14ac:dyDescent="0.25">
      <c r="M68" s="11">
        <f t="shared" si="0"/>
        <v>2018</v>
      </c>
      <c r="N68" s="10">
        <v>43252</v>
      </c>
      <c r="O68" s="43">
        <f>INDEX('Summary_Population World_USA'!$C$3:$J$117,MATCH($N68,'Summary_Population World_USA'!$A$3:$A$117,0),MATCH(O$3,'Summary_Population World_USA'!$C$2:$J$2,0))</f>
        <v>342.22578931467012</v>
      </c>
      <c r="P68" s="43">
        <f>INDEX('Summary_Population World_USA'!$L$3:$S$117,MATCH($N68,'Summary_Population World_USA'!$A$3:$A$117,0),MATCH($P$3,'Summary_Population World_USA'!$L$2:$S$2,0))</f>
        <v>84.415694697618648</v>
      </c>
    </row>
    <row r="69" spans="13:16" x14ac:dyDescent="0.25">
      <c r="M69" s="11">
        <f t="shared" si="0"/>
        <v>2018</v>
      </c>
      <c r="N69" s="10">
        <v>43282</v>
      </c>
      <c r="O69" s="43">
        <f>INDEX('Summary_Population World_USA'!$C$3:$J$117,MATCH($N69,'Summary_Population World_USA'!$A$3:$A$117,0),MATCH(O$3,'Summary_Population World_USA'!$C$2:$J$2,0))</f>
        <v>347.42240488706204</v>
      </c>
      <c r="P69" s="43">
        <f>INDEX('Summary_Population World_USA'!$L$3:$S$117,MATCH($N69,'Summary_Population World_USA'!$A$3:$A$117,0),MATCH($P$3,'Summary_Population World_USA'!$L$2:$S$2,0))</f>
        <v>85.697526538808646</v>
      </c>
    </row>
    <row r="70" spans="13:16" x14ac:dyDescent="0.25">
      <c r="M70" s="11">
        <f t="shared" si="0"/>
        <v>2018</v>
      </c>
      <c r="N70" s="10">
        <v>43313</v>
      </c>
      <c r="O70" s="43">
        <f>INDEX('Summary_Population World_USA'!$C$3:$J$117,MATCH($N70,'Summary_Population World_USA'!$A$3:$A$117,0),MATCH(O$3,'Summary_Population World_USA'!$C$2:$J$2,0))</f>
        <v>352.69792980600351</v>
      </c>
      <c r="P70" s="43">
        <f>INDEX('Summary_Population World_USA'!$L$3:$S$117,MATCH($N70,'Summary_Population World_USA'!$A$3:$A$117,0),MATCH($P$3,'Summary_Population World_USA'!$L$2:$S$2,0))</f>
        <v>86.998822685480874</v>
      </c>
    </row>
    <row r="71" spans="13:16" x14ac:dyDescent="0.25">
      <c r="M71" s="11">
        <f t="shared" si="0"/>
        <v>2018</v>
      </c>
      <c r="N71" s="10">
        <v>43344</v>
      </c>
      <c r="O71" s="43">
        <f>INDEX('Summary_Population World_USA'!$C$3:$J$117,MATCH($N71,'Summary_Population World_USA'!$A$3:$A$117,0),MATCH(O$3,'Summary_Population World_USA'!$C$2:$J$2,0))</f>
        <v>358.05356229077518</v>
      </c>
      <c r="P71" s="43">
        <f>INDEX('Summary_Population World_USA'!$L$3:$S$117,MATCH($N71,'Summary_Population World_USA'!$A$3:$A$117,0),MATCH($P$3,'Summary_Population World_USA'!$L$2:$S$2,0))</f>
        <v>88.319878698391221</v>
      </c>
    </row>
    <row r="72" spans="13:16" x14ac:dyDescent="0.25">
      <c r="M72" s="11">
        <f t="shared" si="0"/>
        <v>2018</v>
      </c>
      <c r="N72" s="10">
        <v>43374</v>
      </c>
      <c r="O72" s="43">
        <f>INDEX('Summary_Population World_USA'!$C$3:$J$117,MATCH($N72,'Summary_Population World_USA'!$A$3:$A$117,0),MATCH(O$3,'Summary_Population World_USA'!$C$2:$J$2,0))</f>
        <v>363.49051875532666</v>
      </c>
      <c r="P72" s="43">
        <f>INDEX('Summary_Population World_USA'!$L$3:$S$117,MATCH($N72,'Summary_Population World_USA'!$A$3:$A$117,0),MATCH($P$3,'Summary_Population World_USA'!$L$2:$S$2,0))</f>
        <v>89.660994626313922</v>
      </c>
    </row>
    <row r="73" spans="13:16" x14ac:dyDescent="0.25">
      <c r="M73" s="11">
        <f t="shared" ref="M73:M122" si="11">YEAR(N73)</f>
        <v>2018</v>
      </c>
      <c r="N73" s="10">
        <v>43405</v>
      </c>
      <c r="O73" s="43">
        <f>INDEX('Summary_Population World_USA'!$C$3:$J$117,MATCH($N73,'Summary_Population World_USA'!$A$3:$A$117,0),MATCH(O$3,'Summary_Population World_USA'!$C$2:$J$2,0))</f>
        <v>369.01003408455836</v>
      </c>
      <c r="P73" s="43">
        <f>INDEX('Summary_Population World_USA'!$L$3:$S$117,MATCH($N73,'Summary_Population World_USA'!$A$3:$A$117,0),MATCH($P$3,'Summary_Population World_USA'!$L$2:$S$2,0))</f>
        <v>91.022475074191078</v>
      </c>
    </row>
    <row r="74" spans="13:16" x14ac:dyDescent="0.25">
      <c r="M74" s="11">
        <f t="shared" si="11"/>
        <v>2018</v>
      </c>
      <c r="N74" s="10">
        <v>43435</v>
      </c>
      <c r="O74" s="43">
        <f>INDEX('Summary_Population World_USA'!$C$3:$J$117,MATCH($N74,'Summary_Population World_USA'!$A$3:$A$117,0),MATCH(O$3,'Summary_Population World_USA'!$C$2:$J$2,0))</f>
        <v>374.61336191479819</v>
      </c>
      <c r="P74" s="43">
        <f>INDEX('Summary_Population World_USA'!$L$3:$S$117,MATCH($N74,'Summary_Population World_USA'!$A$3:$A$117,0),MATCH($P$3,'Summary_Population World_USA'!$L$2:$S$2,0))</f>
        <v>92.404629272316896</v>
      </c>
    </row>
    <row r="75" spans="13:16" x14ac:dyDescent="0.25">
      <c r="M75" s="11">
        <f t="shared" si="11"/>
        <v>2019</v>
      </c>
      <c r="N75" s="10">
        <v>43466</v>
      </c>
      <c r="O75" s="43">
        <f>INDEX('Summary_Population World_USA'!$C$3:$J$117,MATCH($N75,'Summary_Population World_USA'!$A$3:$A$117,0),MATCH(O$3,'Summary_Population World_USA'!$C$2:$J$2,0))</f>
        <v>380.30177491853755</v>
      </c>
      <c r="P75" s="43">
        <f>INDEX('Summary_Population World_USA'!$L$3:$S$117,MATCH($N75,'Summary_Population World_USA'!$A$3:$A$117,0),MATCH($P$3,'Summary_Population World_USA'!$L$2:$S$2,0))</f>
        <v>87.469408231263657</v>
      </c>
    </row>
    <row r="76" spans="13:16" x14ac:dyDescent="0.25">
      <c r="M76" s="11">
        <f t="shared" si="11"/>
        <v>2019</v>
      </c>
      <c r="N76" s="10">
        <v>43497</v>
      </c>
      <c r="O76" s="43">
        <f>INDEX('Summary_Population World_USA'!$C$3:$J$117,MATCH($N76,'Summary_Population World_USA'!$A$3:$A$117,0),MATCH(O$3,'Summary_Population World_USA'!$C$2:$J$2,0))</f>
        <v>386.07656509349073</v>
      </c>
      <c r="P76" s="43">
        <f>INDEX('Summary_Population World_USA'!$L$3:$S$117,MATCH($N76,'Summary_Population World_USA'!$A$3:$A$117,0),MATCH($P$3,'Summary_Population World_USA'!$L$2:$S$2,0))</f>
        <v>88.797609971502879</v>
      </c>
    </row>
    <row r="77" spans="13:16" x14ac:dyDescent="0.25">
      <c r="M77" s="11">
        <f t="shared" si="11"/>
        <v>2019</v>
      </c>
      <c r="N77" s="10">
        <v>43525</v>
      </c>
      <c r="O77" s="43">
        <f>INDEX('Summary_Population World_USA'!$C$3:$J$117,MATCH($N77,'Summary_Population World_USA'!$A$3:$A$117,0),MATCH(O$3,'Summary_Population World_USA'!$C$2:$J$2,0))</f>
        <v>391.93904405604394</v>
      </c>
      <c r="P77" s="43">
        <f>INDEX('Summary_Population World_USA'!$L$3:$S$117,MATCH($N77,'Summary_Population World_USA'!$A$3:$A$117,0),MATCH($P$3,'Summary_Population World_USA'!$L$2:$S$2,0))</f>
        <v>90.145980132890116</v>
      </c>
    </row>
    <row r="78" spans="13:16" x14ac:dyDescent="0.25">
      <c r="M78" s="11">
        <f t="shared" si="11"/>
        <v>2019</v>
      </c>
      <c r="N78" s="10">
        <v>43556</v>
      </c>
      <c r="O78" s="43">
        <f>INDEX('Summary_Population World_USA'!$C$3:$J$117,MATCH($N78,'Summary_Population World_USA'!$A$3:$A$117,0),MATCH(O$3,'Summary_Population World_USA'!$C$2:$J$2,0))</f>
        <v>397.89054333915988</v>
      </c>
      <c r="P78" s="43">
        <f>INDEX('Summary_Population World_USA'!$L$3:$S$117,MATCH($N78,'Summary_Population World_USA'!$A$3:$A$117,0),MATCH($P$3,'Summary_Population World_USA'!$L$2:$S$2,0))</f>
        <v>91.514824968006792</v>
      </c>
    </row>
    <row r="79" spans="13:16" x14ac:dyDescent="0.25">
      <c r="M79" s="11">
        <f t="shared" si="11"/>
        <v>2019</v>
      </c>
      <c r="N79" s="10">
        <v>43586</v>
      </c>
      <c r="O79" s="43">
        <f>INDEX('Summary_Population World_USA'!$C$3:$J$117,MATCH($N79,'Summary_Population World_USA'!$A$3:$A$117,0),MATCH(O$3,'Summary_Population World_USA'!$C$2:$J$2,0))</f>
        <v>403.9324146948062</v>
      </c>
      <c r="P79" s="43">
        <f>INDEX('Summary_Population World_USA'!$L$3:$S$117,MATCH($N79,'Summary_Population World_USA'!$A$3:$A$117,0),MATCH($P$3,'Summary_Population World_USA'!$L$2:$S$2,0))</f>
        <v>92.904455379805441</v>
      </c>
    </row>
    <row r="80" spans="13:16" x14ac:dyDescent="0.25">
      <c r="M80" s="11">
        <f t="shared" si="11"/>
        <v>2019</v>
      </c>
      <c r="N80" s="10">
        <v>43617</v>
      </c>
      <c r="O80" s="43">
        <f>INDEX('Summary_Population World_USA'!$C$3:$J$117,MATCH($N80,'Summary_Population World_USA'!$A$3:$A$117,0),MATCH(O$3,'Summary_Population World_USA'!$C$2:$J$2,0))</f>
        <v>410.06603040097622</v>
      </c>
      <c r="P80" s="43">
        <f>INDEX('Summary_Population World_USA'!$L$3:$S$117,MATCH($N80,'Summary_Population World_USA'!$A$3:$A$117,0),MATCH($P$3,'Summary_Population World_USA'!$L$2:$S$2,0))</f>
        <v>94.31518699222454</v>
      </c>
    </row>
    <row r="81" spans="13:16" x14ac:dyDescent="0.25">
      <c r="M81" s="11">
        <f t="shared" si="11"/>
        <v>2019</v>
      </c>
      <c r="N81" s="10">
        <v>43647</v>
      </c>
      <c r="O81" s="43">
        <f>INDEX('Summary_Population World_USA'!$C$3:$J$117,MATCH($N81,'Summary_Population World_USA'!$A$3:$A$117,0),MATCH(O$3,'Summary_Population World_USA'!$C$2:$J$2,0))</f>
        <v>416.29278357337165</v>
      </c>
      <c r="P81" s="43">
        <f>INDEX('Summary_Population World_USA'!$L$3:$S$117,MATCH($N81,'Summary_Population World_USA'!$A$3:$A$117,0),MATCH($P$3,'Summary_Population World_USA'!$L$2:$S$2,0))</f>
        <v>95.74734022187549</v>
      </c>
    </row>
    <row r="82" spans="13:16" x14ac:dyDescent="0.25">
      <c r="M82" s="11">
        <f t="shared" si="11"/>
        <v>2019</v>
      </c>
      <c r="N82" s="10">
        <v>43678</v>
      </c>
      <c r="O82" s="43">
        <f>INDEX('Summary_Population World_USA'!$C$3:$J$117,MATCH($N82,'Summary_Population World_USA'!$A$3:$A$117,0),MATCH(O$3,'Summary_Population World_USA'!$C$2:$J$2,0))</f>
        <v>422.61408848181804</v>
      </c>
      <c r="P82" s="43">
        <f>INDEX('Summary_Population World_USA'!$L$3:$S$117,MATCH($N82,'Summary_Population World_USA'!$A$3:$A$117,0),MATCH($P$3,'Summary_Population World_USA'!$L$2:$S$2,0))</f>
        <v>97.201240350818168</v>
      </c>
    </row>
    <row r="83" spans="13:16" x14ac:dyDescent="0.25">
      <c r="M83" s="11">
        <f t="shared" si="11"/>
        <v>2019</v>
      </c>
      <c r="N83" s="10">
        <v>43709</v>
      </c>
      <c r="O83" s="43">
        <f>INDEX('Summary_Population World_USA'!$C$3:$J$117,MATCH($N83,'Summary_Population World_USA'!$A$3:$A$117,0),MATCH(O$3,'Summary_Population World_USA'!$C$2:$J$2,0))</f>
        <v>429.03138087148511</v>
      </c>
      <c r="P83" s="43">
        <f>INDEX('Summary_Population World_USA'!$L$3:$S$117,MATCH($N83,'Summary_Population World_USA'!$A$3:$A$117,0),MATCH($P$3,'Summary_Population World_USA'!$L$2:$S$2,0))</f>
        <v>98.677217600441594</v>
      </c>
    </row>
    <row r="84" spans="13:16" x14ac:dyDescent="0.25">
      <c r="M84" s="11">
        <f t="shared" si="11"/>
        <v>2019</v>
      </c>
      <c r="N84" s="10">
        <v>43739</v>
      </c>
      <c r="O84" s="43">
        <f>INDEX('Summary_Population World_USA'!$C$3:$J$117,MATCH($N84,'Summary_Population World_USA'!$A$3:$A$117,0),MATCH(O$3,'Summary_Population World_USA'!$C$2:$J$2,0))</f>
        <v>435.54611828898459</v>
      </c>
      <c r="P84" s="43">
        <f>INDEX('Summary_Population World_USA'!$L$3:$S$117,MATCH($N84,'Summary_Population World_USA'!$A$3:$A$117,0),MATCH($P$3,'Summary_Population World_USA'!$L$2:$S$2,0))</f>
        <v>100.17560720646647</v>
      </c>
    </row>
    <row r="85" spans="13:16" x14ac:dyDescent="0.25">
      <c r="M85" s="11">
        <f t="shared" si="11"/>
        <v>2019</v>
      </c>
      <c r="N85" s="10">
        <v>43770</v>
      </c>
      <c r="O85" s="43">
        <f>INDEX('Summary_Population World_USA'!$C$3:$J$117,MATCH($N85,'Summary_Population World_USA'!$A$3:$A$117,0),MATCH(O$3,'Summary_Population World_USA'!$C$2:$J$2,0))</f>
        <v>442.15978041341981</v>
      </c>
      <c r="P85" s="43">
        <f>INDEX('Summary_Population World_USA'!$L$3:$S$117,MATCH($N85,'Summary_Population World_USA'!$A$3:$A$117,0),MATCH($P$3,'Summary_Population World_USA'!$L$2:$S$2,0))</f>
        <v>101.69674949508658</v>
      </c>
    </row>
    <row r="86" spans="13:16" x14ac:dyDescent="0.25">
      <c r="M86" s="11">
        <f t="shared" si="11"/>
        <v>2019</v>
      </c>
      <c r="N86" s="10">
        <v>43800</v>
      </c>
      <c r="O86" s="43">
        <f>INDEX('Summary_Population World_USA'!$C$3:$J$117,MATCH($N86,'Summary_Population World_USA'!$A$3:$A$117,0),MATCH(O$3,'Summary_Population World_USA'!$C$2:$J$2,0))</f>
        <v>448.87386939246238</v>
      </c>
      <c r="P86" s="43">
        <f>INDEX('Summary_Population World_USA'!$L$3:$S$117,MATCH($N86,'Summary_Population World_USA'!$A$3:$A$117,0),MATCH($P$3,'Summary_Population World_USA'!$L$2:$S$2,0))</f>
        <v>103.24098996026636</v>
      </c>
    </row>
    <row r="87" spans="13:16" x14ac:dyDescent="0.25">
      <c r="M87" s="11">
        <f t="shared" si="11"/>
        <v>2020</v>
      </c>
      <c r="N87" s="10">
        <v>43831</v>
      </c>
      <c r="O87" s="43">
        <f>INDEX('Summary_Population World_USA'!$C$3:$J$117,MATCH($N87,'Summary_Population World_USA'!$A$3:$A$117,0),MATCH(O$3,'Summary_Population World_USA'!$C$2:$J$2,0))</f>
        <v>455.68991018353171</v>
      </c>
      <c r="P87" s="43">
        <f>INDEX('Summary_Population World_USA'!$L$3:$S$117,MATCH($N87,'Summary_Population World_USA'!$A$3:$A$117,0),MATCH($P$3,'Summary_Population World_USA'!$L$2:$S$2,0))</f>
        <v>97.213847505820112</v>
      </c>
    </row>
    <row r="88" spans="13:16" x14ac:dyDescent="0.25">
      <c r="M88" s="11">
        <f t="shared" si="11"/>
        <v>2020</v>
      </c>
      <c r="N88" s="10">
        <v>43862</v>
      </c>
      <c r="O88" s="43">
        <f>INDEX('Summary_Population World_USA'!$C$3:$J$117,MATCH($N88,'Summary_Population World_USA'!$A$3:$A$117,0),MATCH(O$3,'Summary_Population World_USA'!$C$2:$J$2,0))</f>
        <v>462.60945090015559</v>
      </c>
      <c r="P88" s="43">
        <f>INDEX('Summary_Population World_USA'!$L$3:$S$117,MATCH($N88,'Summary_Population World_USA'!$A$3:$A$117,0),MATCH($P$3,'Summary_Population World_USA'!$L$2:$S$2,0))</f>
        <v>98.690016192033212</v>
      </c>
    </row>
    <row r="89" spans="13:16" x14ac:dyDescent="0.25">
      <c r="M89" s="11">
        <f t="shared" si="11"/>
        <v>2020</v>
      </c>
      <c r="N89" s="10">
        <v>43891</v>
      </c>
      <c r="O89" s="43">
        <f>INDEX('Summary_Population World_USA'!$C$3:$J$117,MATCH($N89,'Summary_Population World_USA'!$A$3:$A$117,0),MATCH(O$3,'Summary_Population World_USA'!$C$2:$J$2,0))</f>
        <v>469.63406316359021</v>
      </c>
      <c r="P89" s="43">
        <f>INDEX('Summary_Population World_USA'!$L$3:$S$117,MATCH($N89,'Summary_Population World_USA'!$A$3:$A$117,0),MATCH($P$3,'Summary_Population World_USA'!$L$2:$S$2,0))</f>
        <v>100.18860014156593</v>
      </c>
    </row>
    <row r="90" spans="13:16" x14ac:dyDescent="0.25">
      <c r="M90" s="11">
        <f t="shared" si="11"/>
        <v>2020</v>
      </c>
      <c r="N90" s="10">
        <v>43922</v>
      </c>
      <c r="O90" s="43">
        <f>INDEX('Summary_Population World_USA'!$C$3:$J$117,MATCH($N90,'Summary_Population World_USA'!$A$3:$A$117,0),MATCH(O$3,'Summary_Population World_USA'!$C$2:$J$2,0))</f>
        <v>476.76534245977911</v>
      </c>
      <c r="P90" s="43">
        <f>INDEX('Summary_Population World_USA'!$L$3:$S$117,MATCH($N90,'Summary_Population World_USA'!$A$3:$A$117,0),MATCH($P$3,'Summary_Population World_USA'!$L$2:$S$2,0))</f>
        <v>101.7099397247529</v>
      </c>
    </row>
    <row r="91" spans="13:16" x14ac:dyDescent="0.25">
      <c r="M91" s="11">
        <f t="shared" si="11"/>
        <v>2020</v>
      </c>
      <c r="N91" s="10">
        <v>43952</v>
      </c>
      <c r="O91" s="43">
        <f>INDEX('Summary_Population World_USA'!$C$3:$J$117,MATCH($N91,'Summary_Population World_USA'!$A$3:$A$117,0),MATCH(O$3,'Summary_Population World_USA'!$C$2:$J$2,0))</f>
        <v>484.0049085017327</v>
      </c>
      <c r="P91" s="43">
        <f>INDEX('Summary_Population World_USA'!$L$3:$S$117,MATCH($N91,'Summary_Population World_USA'!$A$3:$A$117,0),MATCH($P$3,'Summary_Population World_USA'!$L$2:$S$2,0))</f>
        <v>103.25438048036966</v>
      </c>
    </row>
    <row r="92" spans="13:16" x14ac:dyDescent="0.25">
      <c r="M92" s="11">
        <f t="shared" si="11"/>
        <v>2020</v>
      </c>
      <c r="N92" s="10">
        <v>43983</v>
      </c>
      <c r="O92" s="43">
        <f>INDEX('Summary_Population World_USA'!$C$3:$J$117,MATCH($N92,'Summary_Population World_USA'!$A$3:$A$117,0),MATCH(O$3,'Summary_Population World_USA'!$C$2:$J$2,0))</f>
        <v>491.35440559741056</v>
      </c>
      <c r="P92" s="43">
        <f>INDEX('Summary_Population World_USA'!$L$3:$S$117,MATCH($N92,'Summary_Population World_USA'!$A$3:$A$117,0),MATCH($P$3,'Summary_Population World_USA'!$L$2:$S$2,0))</f>
        <v>104.82227319411427</v>
      </c>
    </row>
    <row r="93" spans="13:16" x14ac:dyDescent="0.25">
      <c r="M93" s="11">
        <f t="shared" si="11"/>
        <v>2020</v>
      </c>
      <c r="N93" s="10">
        <v>44013</v>
      </c>
      <c r="O93" s="43">
        <f>INDEX('Summary_Population World_USA'!$C$3:$J$117,MATCH($N93,'Summary_Population World_USA'!$A$3:$A$117,0),MATCH(O$3,'Summary_Population World_USA'!$C$2:$J$2,0))</f>
        <v>498.81550302318959</v>
      </c>
      <c r="P93" s="43">
        <f>INDEX('Summary_Population World_USA'!$L$3:$S$117,MATCH($N93,'Summary_Population World_USA'!$A$3:$A$117,0),MATCH($P$3,'Summary_Population World_USA'!$L$2:$S$2,0))</f>
        <v>106.41397397828047</v>
      </c>
    </row>
    <row r="94" spans="13:16" x14ac:dyDescent="0.25">
      <c r="M94" s="11">
        <f t="shared" si="11"/>
        <v>2020</v>
      </c>
      <c r="N94" s="10">
        <v>44044</v>
      </c>
      <c r="O94" s="43">
        <f>INDEX('Summary_Population World_USA'!$C$3:$J$117,MATCH($N94,'Summary_Population World_USA'!$A$3:$A$117,0),MATCH(O$3,'Summary_Population World_USA'!$C$2:$J$2,0))</f>
        <v>506.38989540300344</v>
      </c>
      <c r="P94" s="43">
        <f>INDEX('Summary_Population World_USA'!$L$3:$S$117,MATCH($N94,'Summary_Population World_USA'!$A$3:$A$117,0),MATCH($P$3,'Summary_Population World_USA'!$L$2:$S$2,0))</f>
        <v>108.02984435264075</v>
      </c>
    </row>
    <row r="95" spans="13:16" x14ac:dyDescent="0.25">
      <c r="M95" s="11">
        <f t="shared" si="11"/>
        <v>2020</v>
      </c>
      <c r="N95" s="10">
        <v>44075</v>
      </c>
      <c r="O95" s="43">
        <f>INDEX('Summary_Population World_USA'!$C$3:$J$117,MATCH($N95,'Summary_Population World_USA'!$A$3:$A$117,0),MATCH(O$3,'Summary_Population World_USA'!$C$2:$J$2,0))</f>
        <v>514.07930309323899</v>
      </c>
      <c r="P95" s="43">
        <f>INDEX('Summary_Population World_USA'!$L$3:$S$117,MATCH($N95,'Summary_Population World_USA'!$A$3:$A$117,0),MATCH($P$3,'Summary_Population World_USA'!$L$2:$S$2,0))</f>
        <v>109.67025132655768</v>
      </c>
    </row>
    <row r="96" spans="13:16" x14ac:dyDescent="0.25">
      <c r="M96" s="11">
        <f t="shared" si="11"/>
        <v>2020</v>
      </c>
      <c r="N96" s="10">
        <v>44105</v>
      </c>
      <c r="O96" s="43">
        <f>INDEX('Summary_Population World_USA'!$C$3:$J$117,MATCH($N96,'Summary_Population World_USA'!$A$3:$A$117,0),MATCH(O$3,'Summary_Population World_USA'!$C$2:$J$2,0))</f>
        <v>521.8854725734775</v>
      </c>
      <c r="P96" s="43">
        <f>INDEX('Summary_Population World_USA'!$L$3:$S$117,MATCH($N96,'Summary_Population World_USA'!$A$3:$A$117,0),MATCH($P$3,'Summary_Population World_USA'!$L$2:$S$2,0))</f>
        <v>111.33556748234189</v>
      </c>
    </row>
    <row r="97" spans="13:16" x14ac:dyDescent="0.25">
      <c r="M97" s="11">
        <f t="shared" si="11"/>
        <v>2020</v>
      </c>
      <c r="N97" s="10">
        <v>44136</v>
      </c>
      <c r="O97" s="43">
        <f>INDEX('Summary_Population World_USA'!$C$3:$J$117,MATCH($N97,'Summary_Population World_USA'!$A$3:$A$117,0),MATCH(O$3,'Summary_Population World_USA'!$C$2:$J$2,0))</f>
        <v>529.81017684316885</v>
      </c>
      <c r="P97" s="43">
        <f>INDEX('Summary_Population World_USA'!$L$3:$S$117,MATCH($N97,'Summary_Population World_USA'!$A$3:$A$117,0),MATCH($P$3,'Summary_Population World_USA'!$L$2:$S$2,0))</f>
        <v>113.02617105987605</v>
      </c>
    </row>
    <row r="98" spans="13:16" x14ac:dyDescent="0.25">
      <c r="M98" s="11">
        <f t="shared" si="11"/>
        <v>2020</v>
      </c>
      <c r="N98" s="10">
        <v>44166</v>
      </c>
      <c r="O98" s="43">
        <f>INDEX('Summary_Population World_USA'!$C$3:$J$117,MATCH($N98,'Summary_Population World_USA'!$A$3:$A$117,0),MATCH(O$3,'Summary_Population World_USA'!$C$2:$J$2,0))</f>
        <v>537.85521582432932</v>
      </c>
      <c r="P98" s="43">
        <f>INDEX('Summary_Population World_USA'!$L$3:$S$117,MATCH($N98,'Summary_Population World_USA'!$A$3:$A$117,0),MATCH($P$3,'Summary_Population World_USA'!$L$2:$S$2,0))</f>
        <v>114.74244604252361</v>
      </c>
    </row>
    <row r="99" spans="13:16" x14ac:dyDescent="0.25">
      <c r="M99" s="11">
        <f t="shared" si="11"/>
        <v>2021</v>
      </c>
      <c r="N99" s="10">
        <v>44197</v>
      </c>
      <c r="O99" s="43">
        <f>INDEX('Summary_Population World_USA'!$C$3:$J$117,MATCH($N99,'Summary_Population World_USA'!$A$3:$A$117,0),MATCH(O$3,'Summary_Population World_USA'!$C$2:$J$2,0))</f>
        <v>546.02241677035431</v>
      </c>
      <c r="P99" s="43">
        <f>INDEX('Summary_Population World_USA'!$L$3:$S$117,MATCH($N99,'Summary_Population World_USA'!$A$3:$A$117,0),MATCH($P$3,'Summary_Population World_USA'!$L$2:$S$2,0))</f>
        <v>107.38440863150304</v>
      </c>
    </row>
    <row r="100" spans="13:16" x14ac:dyDescent="0.25">
      <c r="M100" s="11">
        <f t="shared" si="11"/>
        <v>2021</v>
      </c>
      <c r="N100" s="10">
        <v>44228</v>
      </c>
      <c r="O100" s="43">
        <f>INDEX('Summary_Population World_USA'!$C$3:$J$117,MATCH($N100,'Summary_Population World_USA'!$A$3:$A$117,0),MATCH(O$3,'Summary_Population World_USA'!$C$2:$J$2,0))</f>
        <v>554.31363468103871</v>
      </c>
      <c r="P100" s="43">
        <f>INDEX('Summary_Population World_USA'!$L$3:$S$117,MATCH($N100,'Summary_Population World_USA'!$A$3:$A$117,0),MATCH($P$3,'Summary_Population World_USA'!$L$2:$S$2,0))</f>
        <v>109.01501482060431</v>
      </c>
    </row>
    <row r="101" spans="13:16" x14ac:dyDescent="0.25">
      <c r="M101" s="11">
        <f t="shared" si="11"/>
        <v>2021</v>
      </c>
      <c r="N101" s="10">
        <v>44256</v>
      </c>
      <c r="O101" s="43">
        <f>INDEX('Summary_Population World_USA'!$C$3:$J$117,MATCH($N101,'Summary_Population World_USA'!$A$3:$A$117,0),MATCH(O$3,'Summary_Population World_USA'!$C$2:$J$2,0))</f>
        <v>562.73075272389906</v>
      </c>
      <c r="P101" s="43">
        <f>INDEX('Summary_Population World_USA'!$L$3:$S$117,MATCH($N101,'Summary_Population World_USA'!$A$3:$A$117,0),MATCH($P$3,'Summary_Population World_USA'!$L$2:$S$2,0))</f>
        <v>110.67038136903351</v>
      </c>
    </row>
    <row r="102" spans="13:16" x14ac:dyDescent="0.25">
      <c r="M102" s="11">
        <f t="shared" si="11"/>
        <v>2021</v>
      </c>
      <c r="N102" s="10">
        <v>44287</v>
      </c>
      <c r="O102" s="43">
        <f>INDEX('Summary_Population World_USA'!$C$3:$J$117,MATCH($N102,'Summary_Population World_USA'!$A$3:$A$117,0),MATCH(O$3,'Summary_Population World_USA'!$C$2:$J$2,0))</f>
        <v>571.27568266189394</v>
      </c>
      <c r="P102" s="43">
        <f>INDEX('Summary_Population World_USA'!$L$3:$S$117,MATCH($N102,'Summary_Population World_USA'!$A$3:$A$117,0),MATCH($P$3,'Summary_Population World_USA'!$L$2:$S$2,0))</f>
        <v>112.35088425683917</v>
      </c>
    </row>
    <row r="103" spans="13:16" x14ac:dyDescent="0.25">
      <c r="M103" s="11">
        <f t="shared" si="11"/>
        <v>2021</v>
      </c>
      <c r="N103" s="10">
        <v>44317</v>
      </c>
      <c r="O103" s="43">
        <f>INDEX('Summary_Population World_USA'!$C$3:$J$117,MATCH($N103,'Summary_Population World_USA'!$A$3:$A$117,0),MATCH(O$3,'Summary_Population World_USA'!$C$2:$J$2,0))</f>
        <v>579.95036528763831</v>
      </c>
      <c r="P103" s="43">
        <f>INDEX('Summary_Population World_USA'!$L$3:$S$117,MATCH($N103,'Summary_Population World_USA'!$A$3:$A$117,0),MATCH($P$3,'Summary_Population World_USA'!$L$2:$S$2,0))</f>
        <v>114.05690517323556</v>
      </c>
    </row>
    <row r="104" spans="13:16" x14ac:dyDescent="0.25">
      <c r="M104" s="11">
        <f t="shared" si="11"/>
        <v>2021</v>
      </c>
      <c r="N104" s="10">
        <v>44348</v>
      </c>
      <c r="O104" s="43">
        <f>INDEX('Summary_Population World_USA'!$C$3:$J$117,MATCH($N104,'Summary_Population World_USA'!$A$3:$A$117,0),MATCH(O$3,'Summary_Population World_USA'!$C$2:$J$2,0))</f>
        <v>588.75677086421217</v>
      </c>
      <c r="P104" s="43">
        <f>INDEX('Summary_Population World_USA'!$L$3:$S$117,MATCH($N104,'Summary_Population World_USA'!$A$3:$A$117,0),MATCH($P$3,'Summary_Population World_USA'!$L$2:$S$2,0))</f>
        <v>115.78883160329509</v>
      </c>
    </row>
    <row r="105" spans="13:16" x14ac:dyDescent="0.25">
      <c r="M105" s="11">
        <f t="shared" si="11"/>
        <v>2021</v>
      </c>
      <c r="N105" s="10">
        <v>44378</v>
      </c>
      <c r="O105" s="43">
        <f>INDEX('Summary_Population World_USA'!$C$3:$J$117,MATCH($N105,'Summary_Population World_USA'!$A$3:$A$117,0),MATCH(O$3,'Summary_Population World_USA'!$C$2:$J$2,0))</f>
        <v>597.69689957266246</v>
      </c>
      <c r="P105" s="43">
        <f>INDEX('Summary_Population World_USA'!$L$3:$S$117,MATCH($N105,'Summary_Population World_USA'!$A$3:$A$117,0),MATCH($P$3,'Summary_Population World_USA'!$L$2:$S$2,0))</f>
        <v>117.54705691595697</v>
      </c>
    </row>
    <row r="106" spans="13:16" x14ac:dyDescent="0.25">
      <c r="M106" s="11">
        <f t="shared" si="11"/>
        <v>2021</v>
      </c>
      <c r="N106" s="10">
        <v>44409</v>
      </c>
      <c r="O106" s="43">
        <f>INDEX('Summary_Population World_USA'!$C$3:$J$117,MATCH($N106,'Summary_Population World_USA'!$A$3:$A$117,0),MATCH(O$3,'Summary_Population World_USA'!$C$2:$J$2,0))</f>
        <v>606.77278196629982</v>
      </c>
      <c r="P106" s="43">
        <f>INDEX('Summary_Population World_USA'!$L$3:$S$117,MATCH($N106,'Summary_Population World_USA'!$A$3:$A$117,0),MATCH($P$3,'Summary_Population World_USA'!$L$2:$S$2,0))</f>
        <v>119.33198045337232</v>
      </c>
    </row>
    <row r="107" spans="13:16" x14ac:dyDescent="0.25">
      <c r="M107" s="11">
        <f t="shared" si="11"/>
        <v>2021</v>
      </c>
      <c r="N107" s="10">
        <v>44440</v>
      </c>
      <c r="O107" s="43">
        <f>INDEX('Summary_Population World_USA'!$C$3:$J$117,MATCH($N107,'Summary_Population World_USA'!$A$3:$A$117,0),MATCH(O$3,'Summary_Population World_USA'!$C$2:$J$2,0))</f>
        <v>615.98647943189428</v>
      </c>
      <c r="P107" s="43">
        <f>INDEX('Summary_Population World_USA'!$L$3:$S$117,MATCH($N107,'Summary_Population World_USA'!$A$3:$A$117,0),MATCH($P$3,'Summary_Population World_USA'!$L$2:$S$2,0))</f>
        <v>121.14400762160591</v>
      </c>
    </row>
    <row r="108" spans="13:16" x14ac:dyDescent="0.25">
      <c r="M108" s="11">
        <f t="shared" si="11"/>
        <v>2021</v>
      </c>
      <c r="N108" s="10">
        <v>44470</v>
      </c>
      <c r="O108" s="43">
        <f>INDEX('Summary_Population World_USA'!$C$3:$J$117,MATCH($N108,'Summary_Population World_USA'!$A$3:$A$117,0),MATCH(O$3,'Summary_Population World_USA'!$C$2:$J$2,0))</f>
        <v>625.34008465787372</v>
      </c>
      <c r="P108" s="43">
        <f>INDEX('Summary_Population World_USA'!$L$3:$S$117,MATCH($N108,'Summary_Population World_USA'!$A$3:$A$117,0),MATCH($P$3,'Summary_Population World_USA'!$L$2:$S$2,0))</f>
        <v>122.98354998271519</v>
      </c>
    </row>
    <row r="109" spans="13:16" x14ac:dyDescent="0.25">
      <c r="M109" s="11">
        <f t="shared" si="11"/>
        <v>2021</v>
      </c>
      <c r="N109" s="10">
        <v>44501</v>
      </c>
      <c r="O109" s="43">
        <f>INDEX('Summary_Population World_USA'!$C$3:$J$117,MATCH($N109,'Summary_Population World_USA'!$A$3:$A$117,0),MATCH(O$3,'Summary_Population World_USA'!$C$2:$J$2,0))</f>
        <v>634.83572210963223</v>
      </c>
      <c r="P109" s="43">
        <f>INDEX('Summary_Population World_USA'!$L$3:$S$117,MATCH($N109,'Summary_Population World_USA'!$A$3:$A$117,0),MATCH($P$3,'Summary_Population World_USA'!$L$2:$S$2,0))</f>
        <v>124.85102534822769</v>
      </c>
    </row>
    <row r="110" spans="13:16" x14ac:dyDescent="0.25">
      <c r="M110" s="11">
        <f t="shared" si="11"/>
        <v>2021</v>
      </c>
      <c r="N110" s="10">
        <v>44531</v>
      </c>
      <c r="O110" s="43">
        <f>INDEX('Summary_Population World_USA'!$C$3:$J$117,MATCH($N110,'Summary_Population World_USA'!$A$3:$A$117,0),MATCH(O$3,'Summary_Population World_USA'!$C$2:$J$2,0))</f>
        <v>644.47554851205518</v>
      </c>
      <c r="P110" s="43">
        <f>INDEX('Summary_Population World_USA'!$L$3:$S$117,MATCH($N110,'Summary_Population World_USA'!$A$3:$A$117,0),MATCH($P$3,'Summary_Population World_USA'!$L$2:$S$2,0))</f>
        <v>126.74685787403754</v>
      </c>
    </row>
    <row r="111" spans="13:16" x14ac:dyDescent="0.25">
      <c r="M111" s="11">
        <f t="shared" si="11"/>
        <v>2022</v>
      </c>
      <c r="N111" s="10">
        <v>44562</v>
      </c>
      <c r="O111" s="43">
        <f>INDEX('Summary_Population World_USA'!$C$3:$J$117,MATCH($N111,'Summary_Population World_USA'!$A$3:$A$117,0),MATCH(O$3,'Summary_Population World_USA'!$C$2:$J$2,0))</f>
        <v>654.26175333937215</v>
      </c>
      <c r="P111" s="43">
        <f>INDEX('Summary_Population World_USA'!$L$3:$S$117,MATCH($N111,'Summary_Population World_USA'!$A$3:$A$117,0),MATCH($P$3,'Summary_Population World_USA'!$L$2:$S$2,0))</f>
        <v>117.76711560108701</v>
      </c>
    </row>
    <row r="112" spans="13:16" x14ac:dyDescent="0.25">
      <c r="M112" s="11">
        <f t="shared" si="11"/>
        <v>2022</v>
      </c>
      <c r="N112" s="10">
        <v>44593</v>
      </c>
      <c r="O112" s="43">
        <f>INDEX('Summary_Population World_USA'!$C$3:$J$117,MATCH($N112,'Summary_Population World_USA'!$A$3:$A$117,0),MATCH(O$3,'Summary_Population World_USA'!$C$2:$J$2,0))</f>
        <v>664.19655931244756</v>
      </c>
      <c r="P112" s="43">
        <f>INDEX('Summary_Population World_USA'!$L$3:$S$117,MATCH($N112,'Summary_Population World_USA'!$A$3:$A$117,0),MATCH($P$3,'Summary_Population World_USA'!$L$2:$S$2,0))</f>
        <v>119.55538067624059</v>
      </c>
    </row>
    <row r="113" spans="13:16" x14ac:dyDescent="0.25">
      <c r="M113" s="11">
        <f t="shared" si="11"/>
        <v>2022</v>
      </c>
      <c r="N113" s="10">
        <v>44621</v>
      </c>
      <c r="O113" s="43">
        <f>INDEX('Summary_Population World_USA'!$C$3:$J$117,MATCH($N113,'Summary_Population World_USA'!$A$3:$A$117,0),MATCH(O$3,'Summary_Population World_USA'!$C$2:$J$2,0))</f>
        <v>674.28222290362282</v>
      </c>
      <c r="P113" s="43">
        <f>INDEX('Summary_Population World_USA'!$L$3:$S$117,MATCH($N113,'Summary_Population World_USA'!$A$3:$A$117,0),MATCH($P$3,'Summary_Population World_USA'!$L$2:$S$2,0))</f>
        <v>121.37080012265214</v>
      </c>
    </row>
    <row r="114" spans="13:16" x14ac:dyDescent="0.25">
      <c r="M114" s="11">
        <f t="shared" si="11"/>
        <v>2022</v>
      </c>
      <c r="N114" s="10">
        <v>44652</v>
      </c>
      <c r="O114" s="43">
        <f>INDEX('Summary_Population World_USA'!$C$3:$J$117,MATCH($N114,'Summary_Population World_USA'!$A$3:$A$117,0),MATCH(O$3,'Summary_Population World_USA'!$C$2:$J$2,0))</f>
        <v>684.52103484922452</v>
      </c>
      <c r="P114" s="43">
        <f>INDEX('Summary_Population World_USA'!$L$3:$S$117,MATCH($N114,'Summary_Population World_USA'!$A$3:$A$117,0),MATCH($P$3,'Summary_Population World_USA'!$L$2:$S$2,0))</f>
        <v>123.21378627286045</v>
      </c>
    </row>
    <row r="115" spans="13:16" x14ac:dyDescent="0.25">
      <c r="M115" s="11">
        <f t="shared" si="11"/>
        <v>2022</v>
      </c>
      <c r="N115" s="10">
        <v>44682</v>
      </c>
      <c r="O115" s="43">
        <f>INDEX('Summary_Population World_USA'!$C$3:$J$117,MATCH($N115,'Summary_Population World_USA'!$A$3:$A$117,0),MATCH(O$3,'Summary_Population World_USA'!$C$2:$J$2,0))</f>
        <v>694.91532066985428</v>
      </c>
      <c r="P115" s="43">
        <f>INDEX('Summary_Population World_USA'!$L$3:$S$117,MATCH($N115,'Summary_Population World_USA'!$A$3:$A$117,0),MATCH($P$3,'Summary_Population World_USA'!$L$2:$S$2,0))</f>
        <v>125.0847577205738</v>
      </c>
    </row>
    <row r="116" spans="13:16" x14ac:dyDescent="0.25">
      <c r="M116" s="11">
        <f t="shared" si="11"/>
        <v>2022</v>
      </c>
      <c r="N116" s="10">
        <v>44713</v>
      </c>
      <c r="O116" s="43">
        <f>INDEX('Summary_Population World_USA'!$C$3:$J$117,MATCH($N116,'Summary_Population World_USA'!$A$3:$A$117,0),MATCH(O$3,'Summary_Population World_USA'!$C$2:$J$2,0))</f>
        <v>705.46744119857999</v>
      </c>
      <c r="P116" s="43">
        <f>INDEX('Summary_Population World_USA'!$L$3:$S$117,MATCH($N116,'Summary_Population World_USA'!$A$3:$A$117,0),MATCH($P$3,'Summary_Population World_USA'!$L$2:$S$2,0))</f>
        <v>126.98413941574444</v>
      </c>
    </row>
    <row r="117" spans="13:16" x14ac:dyDescent="0.25">
      <c r="M117" s="11">
        <f t="shared" si="11"/>
        <v>2022</v>
      </c>
      <c r="N117" s="10">
        <v>44743</v>
      </c>
      <c r="O117" s="43">
        <f>INDEX('Summary_Population World_USA'!$C$3:$J$117,MATCH($N117,'Summary_Population World_USA'!$A$3:$A$117,0),MATCH(O$3,'Summary_Population World_USA'!$C$2:$J$2,0))</f>
        <v>716.17979311714669</v>
      </c>
      <c r="P117" s="43">
        <f>INDEX('Summary_Population World_USA'!$L$3:$S$117,MATCH($N117,'Summary_Population World_USA'!$A$3:$A$117,0),MATCH($P$3,'Summary_Population World_USA'!$L$2:$S$2,0))</f>
        <v>128.91236276108643</v>
      </c>
    </row>
    <row r="118" spans="13:16" x14ac:dyDescent="0.25">
      <c r="M118" s="11">
        <f t="shared" si="11"/>
        <v>2022</v>
      </c>
      <c r="N118" s="10">
        <v>44774</v>
      </c>
      <c r="O118" s="43">
        <f>INDEX('Summary_Population World_USA'!$C$3:$J$117,MATCH($N118,'Summary_Population World_USA'!$A$3:$A$117,0),MATCH(O$3,'Summary_Population World_USA'!$C$2:$J$2,0))</f>
        <v>727.05480950033029</v>
      </c>
      <c r="P118" s="43">
        <f>INDEX('Summary_Population World_USA'!$L$3:$S$117,MATCH($N118,'Summary_Population World_USA'!$A$3:$A$117,0),MATCH($P$3,'Summary_Population World_USA'!$L$2:$S$2,0))</f>
        <v>130.86986571005949</v>
      </c>
    </row>
    <row r="119" spans="13:16" x14ac:dyDescent="0.25">
      <c r="M119" s="11">
        <f t="shared" si="11"/>
        <v>2022</v>
      </c>
      <c r="N119" s="10">
        <v>44805</v>
      </c>
      <c r="O119" s="43">
        <f>INDEX('Summary_Population World_USA'!$C$3:$J$117,MATCH($N119,'Summary_Population World_USA'!$A$3:$A$117,0),MATCH(O$3,'Summary_Population World_USA'!$C$2:$J$2,0))</f>
        <v>738.09496036855683</v>
      </c>
      <c r="P119" s="43">
        <f>INDEX('Summary_Population World_USA'!$L$3:$S$117,MATCH($N119,'Summary_Population World_USA'!$A$3:$A$117,0),MATCH($P$3,'Summary_Population World_USA'!$L$2:$S$2,0))</f>
        <v>132.85709286634025</v>
      </c>
    </row>
    <row r="120" spans="13:16" x14ac:dyDescent="0.25">
      <c r="M120" s="11">
        <f t="shared" si="11"/>
        <v>2022</v>
      </c>
      <c r="N120" s="10">
        <v>44835</v>
      </c>
      <c r="O120" s="43">
        <f>INDEX('Summary_Population World_USA'!$C$3:$J$117,MATCH($N120,'Summary_Population World_USA'!$A$3:$A$117,0),MATCH(O$3,'Summary_Population World_USA'!$C$2:$J$2,0))</f>
        <v>749.30275324891295</v>
      </c>
      <c r="P120" s="43">
        <f>INDEX('Summary_Population World_USA'!$L$3:$S$117,MATCH($N120,'Summary_Population World_USA'!$A$3:$A$117,0),MATCH($P$3,'Summary_Population World_USA'!$L$2:$S$2,0))</f>
        <v>134.87449558480438</v>
      </c>
    </row>
    <row r="121" spans="13:16" x14ac:dyDescent="0.25">
      <c r="M121" s="11">
        <f t="shared" si="11"/>
        <v>2022</v>
      </c>
      <c r="N121" s="10">
        <v>44866</v>
      </c>
      <c r="O121" s="43">
        <f>INDEX('Summary_Population World_USA'!$C$3:$J$117,MATCH($N121,'Summary_Population World_USA'!$A$3:$A$117,0),MATCH(O$3,'Summary_Population World_USA'!$C$2:$J$2,0))</f>
        <v>760.68073374467599</v>
      </c>
      <c r="P121" s="43">
        <f>INDEX('Summary_Population World_USA'!$L$3:$S$117,MATCH($N121,'Summary_Population World_USA'!$A$3:$A$117,0),MATCH($P$3,'Summary_Population World_USA'!$L$2:$S$2,0))</f>
        <v>136.92253207404173</v>
      </c>
    </row>
    <row r="122" spans="13:16" x14ac:dyDescent="0.25">
      <c r="M122" s="11">
        <f t="shared" si="11"/>
        <v>2022</v>
      </c>
      <c r="N122" s="10">
        <v>44896</v>
      </c>
      <c r="O122" s="43">
        <f>INDEX('Summary_Population World_USA'!$C$3:$J$117,MATCH($N122,'Summary_Population World_USA'!$A$3:$A$117,0),MATCH(O$3,'Summary_Population World_USA'!$C$2:$J$2,0))</f>
        <v>772.2314861134912</v>
      </c>
      <c r="P122" s="43">
        <f>INDEX('Summary_Population World_USA'!$L$3:$S$117,MATCH($N122,'Summary_Population World_USA'!$A$3:$A$117,0),MATCH($P$3,'Summary_Population World_USA'!$L$2:$S$2,0))</f>
        <v>139.00166750042845</v>
      </c>
    </row>
  </sheetData>
  <sortState ref="A55:B62">
    <sortCondition ref="B55"/>
  </sortState>
  <mergeCells count="4">
    <mergeCell ref="A2:F2"/>
    <mergeCell ref="A3:F3"/>
    <mergeCell ref="A1:F1"/>
    <mergeCell ref="B41:C41"/>
  </mergeCells>
  <hyperlinks>
    <hyperlink ref="A38" r:id="rId1" display="http://mashable.com/2013/04/17/users-stay-longer-on-tumblr-than-facebook/, accessed August 25, 2014.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'Summary_Population World_USA'!$C$2:$J$2</xm:f>
          </x14:formula1>
          <xm:sqref>O3:P3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117"/>
  <sheetViews>
    <sheetView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M1" sqref="M1:S1"/>
    </sheetView>
  </sheetViews>
  <sheetFormatPr defaultColWidth="12.5546875" defaultRowHeight="14.4" x14ac:dyDescent="0.3"/>
  <cols>
    <col min="1" max="2" width="8.88671875" customWidth="1"/>
    <col min="3" max="10" width="12.5546875" style="1"/>
    <col min="11" max="11" width="3" customWidth="1"/>
    <col min="12" max="19" width="12.5546875" style="1"/>
  </cols>
  <sheetData>
    <row r="1" spans="1:30" x14ac:dyDescent="0.3">
      <c r="C1" s="51" t="s">
        <v>367</v>
      </c>
      <c r="D1" s="52">
        <f t="shared" ref="D1:G1" si="0">AVERAGE(D3:D9)</f>
        <v>169.84299762572968</v>
      </c>
      <c r="E1" s="52">
        <f t="shared" si="0"/>
        <v>145.02402552374525</v>
      </c>
      <c r="F1" s="52">
        <f t="shared" si="0"/>
        <v>142.99320937609588</v>
      </c>
      <c r="G1" s="52">
        <f t="shared" si="0"/>
        <v>148.28284635597831</v>
      </c>
      <c r="H1" s="52">
        <f>AVERAGE(H3:H9)</f>
        <v>137.37941571771373</v>
      </c>
      <c r="I1" s="52">
        <f>AVERAGE(I3:I9)</f>
        <v>144.40695972592471</v>
      </c>
      <c r="J1" s="52">
        <f>AVERAGE(J3:J9)</f>
        <v>149.17604302702713</v>
      </c>
      <c r="L1" s="51" t="s">
        <v>368</v>
      </c>
      <c r="M1" s="52">
        <f t="shared" ref="M1:P1" si="1">AVERAGE(M3:M9)</f>
        <v>53.788092031924826</v>
      </c>
      <c r="N1" s="52">
        <f t="shared" si="1"/>
        <v>44.78674845042444</v>
      </c>
      <c r="O1" s="52">
        <f t="shared" si="1"/>
        <v>47.124419841141716</v>
      </c>
      <c r="P1" s="52">
        <f t="shared" si="1"/>
        <v>47.804561529465289</v>
      </c>
      <c r="Q1" s="52">
        <f>AVERAGE(Q3:Q9)</f>
        <v>45.16224129105229</v>
      </c>
      <c r="R1" s="52">
        <f>AVERAGE(R3:R9)</f>
        <v>46.948979313042528</v>
      </c>
      <c r="S1" s="52">
        <f>AVERAGE(S3:S9)</f>
        <v>48.733638594594574</v>
      </c>
    </row>
    <row r="2" spans="1:30" x14ac:dyDescent="0.3">
      <c r="A2" s="53" t="s">
        <v>55</v>
      </c>
      <c r="B2" s="53" t="s">
        <v>369</v>
      </c>
      <c r="C2" s="51" t="s">
        <v>378</v>
      </c>
      <c r="D2" s="51" t="s">
        <v>1538</v>
      </c>
      <c r="E2" s="51" t="s">
        <v>1539</v>
      </c>
      <c r="F2" s="51" t="s">
        <v>370</v>
      </c>
      <c r="G2" s="51" t="s">
        <v>371</v>
      </c>
      <c r="H2" s="51" t="s">
        <v>372</v>
      </c>
      <c r="I2" s="51" t="s">
        <v>373</v>
      </c>
      <c r="J2" s="51" t="s">
        <v>374</v>
      </c>
      <c r="L2" s="51" t="s">
        <v>378</v>
      </c>
      <c r="M2" s="51" t="s">
        <v>1538</v>
      </c>
      <c r="N2" s="51" t="s">
        <v>1539</v>
      </c>
      <c r="O2" s="51" t="s">
        <v>370</v>
      </c>
      <c r="P2" s="51" t="s">
        <v>371</v>
      </c>
      <c r="Q2" s="51" t="s">
        <v>372</v>
      </c>
      <c r="R2" s="51" t="s">
        <v>373</v>
      </c>
      <c r="S2" s="51" t="s">
        <v>374</v>
      </c>
    </row>
    <row r="3" spans="1:30" x14ac:dyDescent="0.3">
      <c r="A3" s="54">
        <v>41426</v>
      </c>
      <c r="B3" s="55">
        <f>YEAR(A3)</f>
        <v>2013</v>
      </c>
      <c r="C3" s="1">
        <v>138.55028785696786</v>
      </c>
      <c r="D3" s="1">
        <f>'Exhibit 1'!$C$44*(1+'Summary_Population World_USA'!$V$7)/10^6</f>
        <v>143.94394527201953</v>
      </c>
      <c r="E3" s="1">
        <f>'Exhibit 1'!$C$44*(1+'Summary_Population World_USA'!$V$8)/10^6</f>
        <v>138.55028785696786</v>
      </c>
      <c r="F3" s="1">
        <f>INDEX('Worldwide Population'!2:2,1,MATCH(F$2,'Worldwide Population'!$1:$1,0))/10^6</f>
        <v>138.17316665476798</v>
      </c>
      <c r="G3" s="1">
        <f>INDEX('Worldwide Population'!2:2,1,MATCH(G$2,'Worldwide Population'!$1:$1,0))/10^6</f>
        <v>139.46746904028799</v>
      </c>
      <c r="H3" s="1">
        <f>INDEX('Worldwide Population'!2:2,1,MATCH(H$2,'Worldwide Population'!$1:$1,0))/10^6</f>
        <v>136.712674094345</v>
      </c>
      <c r="I3" s="1">
        <f>INDEX('Worldwide Population'!2:2,1,MATCH(I$2,'Worldwide Population'!$1:$1,0))/10^6</f>
        <v>138.149861840272</v>
      </c>
      <c r="J3" s="1">
        <f>INDEX('Worldwide Population'!2:2,1,MATCH(J$2,'Worldwide Population'!$1:$1,0))/10^6</f>
        <v>139.65243875675699</v>
      </c>
      <c r="L3" s="1">
        <f>C3*SUMIFS($U$4:$AD$4,$U$3:$AD$3,B3)</f>
        <v>45.721594992799396</v>
      </c>
      <c r="M3" s="1">
        <f>'Exhibit 3'!$C$44*(1+'Summary_Population World_USA'!W7)/10^6</f>
        <v>46.863082547725604</v>
      </c>
      <c r="N3" s="1">
        <f>'Exhibit 3'!$C$44*(1+'Summary_Population World_USA'!W8)/10^6</f>
        <v>44.810373343216767</v>
      </c>
      <c r="O3" s="1">
        <f>INDEX('USA Population'!2:2,1,MATCH(O$2,'USA Population'!$1:$1,0))/10^6</f>
        <v>45.419872317833601</v>
      </c>
      <c r="P3" s="1">
        <f>INDEX('USA Population'!2:2,1,MATCH(P$2,'USA Population'!$1:$1,0))/10^6</f>
        <v>45.6096118473601</v>
      </c>
      <c r="Q3" s="1">
        <f>INDEX('USA Population'!2:2,1,MATCH(Q$2,'USA Population'!$1:$1,0))/10^6</f>
        <v>44.921808149757695</v>
      </c>
      <c r="R3" s="1">
        <f>INDEX('USA Population'!2:2,1,MATCH(R$2,'USA Population'!$1:$1,0))/10^6</f>
        <v>45.379074853970103</v>
      </c>
      <c r="S3" s="1">
        <f>INDEX('USA Population'!2:2,1,MATCH(S$2,'USA Population'!$1:$1,0))/10^6</f>
        <v>45.7970986486486</v>
      </c>
      <c r="U3" s="60">
        <v>2013</v>
      </c>
      <c r="V3" s="60">
        <v>2014</v>
      </c>
      <c r="W3" s="60">
        <v>2015</v>
      </c>
      <c r="X3" s="60">
        <v>2016</v>
      </c>
      <c r="Y3" s="60">
        <v>2017</v>
      </c>
      <c r="Z3" s="60">
        <v>2018</v>
      </c>
      <c r="AA3" s="60">
        <v>2019</v>
      </c>
      <c r="AB3" s="60">
        <v>2020</v>
      </c>
      <c r="AC3" s="60">
        <v>2021</v>
      </c>
      <c r="AD3" s="60">
        <v>2022</v>
      </c>
    </row>
    <row r="4" spans="1:30" x14ac:dyDescent="0.3">
      <c r="A4" s="54">
        <v>41456</v>
      </c>
      <c r="B4" s="55">
        <f t="shared" ref="B4:B67" si="2">YEAR(A4)</f>
        <v>2013</v>
      </c>
      <c r="C4" s="1">
        <v>140.65414035995641</v>
      </c>
      <c r="D4" s="1">
        <f>D3*(1+'Summary_Population World_USA'!$V$7)</f>
        <v>151.81841729100819</v>
      </c>
      <c r="E4" s="1">
        <f>E3*(1+'Summary_Population World_USA'!$V$8)</f>
        <v>140.65414035995641</v>
      </c>
      <c r="F4" s="1">
        <f>INDEX('Worldwide Population'!3:3,1,MATCH(F$2,'Worldwide Population'!$1:$1,0))/10^6</f>
        <v>139.83411895588699</v>
      </c>
      <c r="G4" s="1">
        <f>INDEX('Worldwide Population'!3:3,1,MATCH(G$2,'Worldwide Population'!$1:$1,0))/10^6</f>
        <v>142.521942777899</v>
      </c>
      <c r="H4" s="1">
        <f>INDEX('Worldwide Population'!3:3,1,MATCH(H$2,'Worldwide Population'!$1:$1,0))/10^6</f>
        <v>136.942428537133</v>
      </c>
      <c r="I4" s="1">
        <f>INDEX('Worldwide Population'!3:3,1,MATCH(I$2,'Worldwide Population'!$1:$1,0))/10^6</f>
        <v>140.35617332701401</v>
      </c>
      <c r="J4" s="1">
        <f>INDEX('Worldwide Population'!3:3,1,MATCH(J$2,'Worldwide Population'!$1:$1,0))/10^6</f>
        <v>142.82697351351402</v>
      </c>
      <c r="L4" s="1">
        <f t="shared" ref="L4:L67" si="3">C4*SUMIFS($U$4:$AD$4,$U$3:$AD$3,B4)</f>
        <v>46.415866318785618</v>
      </c>
      <c r="M4" s="1">
        <f>M3*(1+$W$7)</f>
        <v>49.001208388826583</v>
      </c>
      <c r="N4" s="1">
        <f>N3*(1+$W$8)</f>
        <v>44.8024960714325</v>
      </c>
      <c r="O4" s="1">
        <f>INDEX('USA Population'!3:3,1,MATCH(O$2,'USA Population'!$1:$1,0))/10^6</f>
        <v>46.008482161814698</v>
      </c>
      <c r="P4" s="1">
        <f>INDEX('USA Population'!3:3,1,MATCH(P$2,'USA Population'!$1:$1,0))/10^6</f>
        <v>46.381554746920202</v>
      </c>
      <c r="Q4" s="1">
        <f>INDEX('USA Population'!3:3,1,MATCH(Q$2,'USA Population'!$1:$1,0))/10^6</f>
        <v>45.004659686637495</v>
      </c>
      <c r="R4" s="1">
        <f>INDEX('USA Population'!3:3,1,MATCH(R$2,'USA Population'!$1:$1,0))/10^6</f>
        <v>45.951037310916107</v>
      </c>
      <c r="S4" s="1">
        <f>INDEX('USA Population'!3:3,1,MATCH(S$2,'USA Population'!$1:$1,0))/10^6</f>
        <v>46.775945297297298</v>
      </c>
      <c r="U4" s="59">
        <v>0.33</v>
      </c>
      <c r="V4" s="59">
        <v>0.31333333333333335</v>
      </c>
      <c r="W4" s="59">
        <v>0.29666666666666669</v>
      </c>
      <c r="X4" s="59">
        <v>0.28000000000000003</v>
      </c>
      <c r="Y4" s="59">
        <v>0.26333333333333336</v>
      </c>
      <c r="Z4" s="59">
        <v>0.2466666666666667</v>
      </c>
      <c r="AA4" s="59">
        <v>0.23000000000000004</v>
      </c>
      <c r="AB4" s="59">
        <v>0.21333333333333337</v>
      </c>
      <c r="AC4" s="59">
        <v>0.19666666666666671</v>
      </c>
      <c r="AD4" s="59">
        <v>0.18000000000000005</v>
      </c>
    </row>
    <row r="5" spans="1:30" x14ac:dyDescent="0.3">
      <c r="A5" s="54">
        <v>41487</v>
      </c>
      <c r="B5" s="55">
        <f t="shared" si="2"/>
        <v>2013</v>
      </c>
      <c r="C5" s="1">
        <v>142.78993935271987</v>
      </c>
      <c r="D5" s="1">
        <f>D4*(1+'Summary_Population World_USA'!$V$7)</f>
        <v>160.12366331345115</v>
      </c>
      <c r="E5" s="1">
        <f>E4*(1+'Summary_Population World_USA'!$V$8)</f>
        <v>142.78993935271987</v>
      </c>
      <c r="F5" s="1">
        <f>INDEX('Worldwide Population'!4:4,1,MATCH(F$2,'Worldwide Population'!$1:$1,0))/10^6</f>
        <v>141.46185194895801</v>
      </c>
      <c r="G5" s="1">
        <f>INDEX('Worldwide Population'!4:4,1,MATCH(G$2,'Worldwide Population'!$1:$1,0))/10^6</f>
        <v>145.50776804478801</v>
      </c>
      <c r="H5" s="1">
        <f>INDEX('Worldwide Population'!4:4,1,MATCH(H$2,'Worldwide Population'!$1:$1,0))/10^6</f>
        <v>137.16758783024599</v>
      </c>
      <c r="I5" s="1">
        <f>INDEX('Worldwide Population'!4:4,1,MATCH(I$2,'Worldwide Population'!$1:$1,0))/10^6</f>
        <v>142.48863893541301</v>
      </c>
      <c r="J5" s="1">
        <f>INDEX('Worldwide Population'!4:4,1,MATCH(J$2,'Worldwide Population'!$1:$1,0))/10^6</f>
        <v>146.00150827026999</v>
      </c>
      <c r="L5" s="1">
        <f t="shared" si="3"/>
        <v>47.120679986397562</v>
      </c>
      <c r="M5" s="1">
        <f t="shared" ref="M5:M68" si="4">M4*(1+$W$7)</f>
        <v>51.236886116484065</v>
      </c>
      <c r="N5" s="1">
        <f t="shared" ref="N5:N68" si="5">N4*(1+$W$8)</f>
        <v>44.794620184403733</v>
      </c>
      <c r="O5" s="1">
        <f>INDEX('USA Population'!4:4,1,MATCH(O$2,'USA Population'!$1:$1,0))/10^6</f>
        <v>46.5845727016426</v>
      </c>
      <c r="P5" s="1">
        <f>INDEX('USA Population'!4:4,1,MATCH(P$2,'USA Population'!$1:$1,0))/10^6</f>
        <v>47.129078711144501</v>
      </c>
      <c r="Q5" s="1">
        <f>INDEX('USA Population'!4:4,1,MATCH(Q$2,'USA Population'!$1:$1,0))/10^6</f>
        <v>45.085854183721402</v>
      </c>
      <c r="R5" s="1">
        <f>INDEX('USA Population'!4:4,1,MATCH(R$2,'USA Population'!$1:$1,0))/10^6</f>
        <v>46.492524732800902</v>
      </c>
      <c r="S5" s="1">
        <f>INDEX('USA Population'!4:4,1,MATCH(S$2,'USA Population'!$1:$1,0))/10^6</f>
        <v>47.754791945945904</v>
      </c>
    </row>
    <row r="6" spans="1:30" x14ac:dyDescent="0.3">
      <c r="A6" s="54">
        <v>41518</v>
      </c>
      <c r="B6" s="55">
        <f t="shared" si="2"/>
        <v>2013</v>
      </c>
      <c r="C6" s="1">
        <v>144.95816993495387</v>
      </c>
      <c r="D6" s="1">
        <f>D5*(1+'Summary_Population World_USA'!$V$7)</f>
        <v>168.88324888655015</v>
      </c>
      <c r="E6" s="1">
        <f>E5*(1+'Summary_Population World_USA'!$V$8)</f>
        <v>144.95816993495387</v>
      </c>
      <c r="F6" s="1">
        <f>INDEX('Worldwide Population'!5:5,1,MATCH(F$2,'Worldwide Population'!$1:$1,0))/10^6</f>
        <v>143.057030025383</v>
      </c>
      <c r="G6" s="1">
        <f>INDEX('Worldwide Population'!5:5,1,MATCH(G$2,'Worldwide Population'!$1:$1,0))/10^6</f>
        <v>148.423830108386</v>
      </c>
      <c r="H6" s="1">
        <f>INDEX('Worldwide Population'!5:5,1,MATCH(H$2,'Worldwide Population'!$1:$1,0))/10^6</f>
        <v>137.38824387789299</v>
      </c>
      <c r="I6" s="1">
        <f>INDEX('Worldwide Population'!5:5,1,MATCH(I$2,'Worldwide Population'!$1:$1,0))/10^6</f>
        <v>144.548694636172</v>
      </c>
      <c r="J6" s="1">
        <f>INDEX('Worldwide Population'!5:5,1,MATCH(J$2,'Worldwide Population'!$1:$1,0))/10^6</f>
        <v>149.17604302702702</v>
      </c>
      <c r="L6" s="1">
        <f t="shared" si="3"/>
        <v>47.836196078534783</v>
      </c>
      <c r="M6" s="1">
        <f t="shared" si="4"/>
        <v>53.574566530734138</v>
      </c>
      <c r="N6" s="1">
        <f t="shared" si="5"/>
        <v>44.786745681887034</v>
      </c>
      <c r="O6" s="1">
        <f>INDEX('USA Population'!5:5,1,MATCH(O$2,'USA Population'!$1:$1,0))/10^6</f>
        <v>47.148410213829798</v>
      </c>
      <c r="P6" s="1">
        <f>INDEX('USA Population'!5:5,1,MATCH(P$2,'USA Population'!$1:$1,0))/10^6</f>
        <v>47.852394601380603</v>
      </c>
      <c r="Q6" s="1">
        <f>INDEX('USA Population'!5:5,1,MATCH(Q$2,'USA Population'!$1:$1,0))/10^6</f>
        <v>45.165424781986601</v>
      </c>
      <c r="R6" s="1">
        <f>INDEX('USA Population'!5:5,1,MATCH(R$2,'USA Population'!$1:$1,0))/10^6</f>
        <v>47.004823364219206</v>
      </c>
      <c r="S6" s="1">
        <f>INDEX('USA Population'!5:5,1,MATCH(S$2,'USA Population'!$1:$1,0))/10^6</f>
        <v>48.733638594594595</v>
      </c>
      <c r="U6" s="70" t="s">
        <v>1535</v>
      </c>
      <c r="V6" s="60" t="s">
        <v>25</v>
      </c>
      <c r="W6" s="60" t="s">
        <v>1540</v>
      </c>
    </row>
    <row r="7" spans="1:30" x14ac:dyDescent="0.3">
      <c r="A7" s="54">
        <v>41548</v>
      </c>
      <c r="B7" s="55">
        <f t="shared" si="2"/>
        <v>2013</v>
      </c>
      <c r="C7" s="1">
        <v>147.1593245724753</v>
      </c>
      <c r="D7" s="1">
        <f>D6*(1+'Summary_Population World_USA'!$V$7)</f>
        <v>178.12202871379407</v>
      </c>
      <c r="E7" s="1">
        <f>E6*(1+'Summary_Population World_USA'!$V$8)</f>
        <v>147.1593245724753</v>
      </c>
      <c r="F7" s="1">
        <f>INDEX('Worldwide Population'!6:6,1,MATCH(F$2,'Worldwide Population'!$1:$1,0))/10^6</f>
        <v>144.62030428863</v>
      </c>
      <c r="G7" s="1">
        <f>INDEX('Worldwide Population'!6:6,1,MATCH(G$2,'Worldwide Population'!$1:$1,0))/10^6</f>
        <v>151.26927722267402</v>
      </c>
      <c r="H7" s="1">
        <f>INDEX('Worldwide Population'!6:6,1,MATCH(H$2,'Worldwide Population'!$1:$1,0))/10^6</f>
        <v>137.60448674617601</v>
      </c>
      <c r="I7" s="1">
        <f>INDEX('Worldwide Population'!6:6,1,MATCH(I$2,'Worldwide Population'!$1:$1,0))/10^6</f>
        <v>146.53785177934699</v>
      </c>
      <c r="J7" s="1">
        <f>INDEX('Worldwide Population'!6:6,1,MATCH(J$2,'Worldwide Population'!$1:$1,0))/10^6</f>
        <v>152.35057778378399</v>
      </c>
      <c r="L7" s="1">
        <f t="shared" si="3"/>
        <v>48.562577108916848</v>
      </c>
      <c r="M7" s="1">
        <f t="shared" si="4"/>
        <v>56.018903499146084</v>
      </c>
      <c r="N7" s="1">
        <f t="shared" si="5"/>
        <v>44.778872563639013</v>
      </c>
      <c r="O7" s="1">
        <f>INDEX('USA Population'!6:6,1,MATCH(O$2,'USA Population'!$1:$1,0))/10^6</f>
        <v>47.700255311380701</v>
      </c>
      <c r="P7" s="1">
        <f>INDEX('USA Population'!6:6,1,MATCH(P$2,'USA Population'!$1:$1,0))/10^6</f>
        <v>48.551769111753906</v>
      </c>
      <c r="Q7" s="1">
        <f>INDEX('USA Population'!6:6,1,MATCH(Q$2,'USA Population'!$1:$1,0))/10^6</f>
        <v>45.2434039595868</v>
      </c>
      <c r="R7" s="1">
        <f>INDEX('USA Population'!6:6,1,MATCH(R$2,'USA Population'!$1:$1,0))/10^6</f>
        <v>47.489208649390399</v>
      </c>
      <c r="S7" s="1">
        <f>INDEX('USA Population'!6:6,1,MATCH(S$2,'USA Population'!$1:$1,0))/10^6</f>
        <v>49.712485243243201</v>
      </c>
      <c r="U7" s="71" t="s">
        <v>1536</v>
      </c>
      <c r="V7" s="69">
        <f>('Exhibit 1'!C44/'Exhibit 1'!C7)^(1/37)-1</f>
        <v>5.4705128472807951E-2</v>
      </c>
      <c r="W7" s="69">
        <f>('Exhibit 3'!C44/'Exhibit 3'!C7)^(1/37)-1</f>
        <v>4.5624950917889429E-2</v>
      </c>
    </row>
    <row r="8" spans="1:30" x14ac:dyDescent="0.3">
      <c r="A8" s="54">
        <v>41579</v>
      </c>
      <c r="B8" s="55">
        <f t="shared" si="2"/>
        <v>2013</v>
      </c>
      <c r="C8" s="1">
        <v>149.39390320907492</v>
      </c>
      <c r="D8" s="1">
        <f>D7*(1+'Summary_Population World_USA'!$V$7)</f>
        <v>187.86621717841936</v>
      </c>
      <c r="E8" s="1">
        <f>E7*(1+'Summary_Population World_USA'!$V$8)</f>
        <v>149.39390320907492</v>
      </c>
      <c r="F8" s="1">
        <f>INDEX('Worldwide Population'!7:7,1,MATCH(F$2,'Worldwide Population'!$1:$1,0))/10^6</f>
        <v>146.15231281999499</v>
      </c>
      <c r="G8" s="1">
        <f>INDEX('Worldwide Population'!7:7,1,MATCH(G$2,'Worldwide Population'!$1:$1,0))/10^6</f>
        <v>154.04350377654401</v>
      </c>
      <c r="H8" s="1">
        <f>INDEX('Worldwide Population'!7:7,1,MATCH(H$2,'Worldwide Population'!$1:$1,0))/10^6</f>
        <v>137.81640469984998</v>
      </c>
      <c r="I8" s="1">
        <f>INDEX('Worldwide Population'!7:7,1,MATCH(I$2,'Worldwide Population'!$1:$1,0))/10^6</f>
        <v>148.457683743996</v>
      </c>
      <c r="J8" s="1">
        <f>INDEX('Worldwide Population'!7:7,1,MATCH(J$2,'Worldwide Population'!$1:$1,0))/10^6</f>
        <v>155.52511254054099</v>
      </c>
      <c r="L8" s="1">
        <f t="shared" si="3"/>
        <v>49.299988058994728</v>
      </c>
      <c r="M8" s="1">
        <f t="shared" si="4"/>
        <v>58.574763221768606</v>
      </c>
      <c r="N8" s="1">
        <f t="shared" si="5"/>
        <v>44.771000829416337</v>
      </c>
      <c r="O8" s="1">
        <f>INDEX('USA Population'!7:7,1,MATCH(O$2,'USA Population'!$1:$1,0))/10^6</f>
        <v>48.240363064250204</v>
      </c>
      <c r="P8" s="1">
        <f>INDEX('USA Population'!7:7,1,MATCH(P$2,'USA Population'!$1:$1,0))/10^6</f>
        <v>49.227518575440506</v>
      </c>
      <c r="Q8" s="1">
        <f>INDEX('USA Population'!7:7,1,MATCH(Q$2,'USA Population'!$1:$1,0))/10^6</f>
        <v>45.3198235451095</v>
      </c>
      <c r="R8" s="1">
        <f>INDEX('USA Population'!7:7,1,MATCH(R$2,'USA Population'!$1:$1,0))/10^6</f>
        <v>47.9469385121103</v>
      </c>
      <c r="S8" s="1">
        <f>INDEX('USA Population'!7:7,1,MATCH(S$2,'USA Population'!$1:$1,0))/10^6</f>
        <v>50.691331891891899</v>
      </c>
      <c r="U8" s="71" t="s">
        <v>1537</v>
      </c>
      <c r="V8" s="69">
        <f>('Exhibit 1'!C44/'Exhibit 1'!C32)^(1/12)-1</f>
        <v>1.5184757357995959E-2</v>
      </c>
      <c r="W8" s="69">
        <f>('Exhibit 3'!C44/'Exhibit 3'!C32)^(1/12)-1</f>
        <v>-1.7579125538480511E-4</v>
      </c>
    </row>
    <row r="9" spans="1:30" x14ac:dyDescent="0.3">
      <c r="A9" s="54">
        <v>41609</v>
      </c>
      <c r="B9" s="55">
        <f t="shared" si="2"/>
        <v>2013</v>
      </c>
      <c r="C9" s="1">
        <v>151.66241338006867</v>
      </c>
      <c r="D9" s="1">
        <f>D8*(1+'Summary_Population World_USA'!$V$7)</f>
        <v>198.14346272486523</v>
      </c>
      <c r="E9" s="1">
        <f>E8*(1+'Summary_Population World_USA'!$V$8)</f>
        <v>151.66241338006867</v>
      </c>
      <c r="F9" s="1">
        <f>INDEX('Worldwide Population'!8:8,1,MATCH(F$2,'Worldwide Population'!$1:$1,0))/10^6</f>
        <v>147.65368093904999</v>
      </c>
      <c r="G9" s="1">
        <f>INDEX('Worldwide Population'!8:8,1,MATCH(G$2,'Worldwide Population'!$1:$1,0))/10^6</f>
        <v>156.746133521269</v>
      </c>
      <c r="H9" s="1">
        <f>INDEX('Worldwide Population'!8:8,1,MATCH(H$2,'Worldwide Population'!$1:$1,0))/10^6</f>
        <v>138.02408423835303</v>
      </c>
      <c r="I9" s="1">
        <f>INDEX('Worldwide Population'!8:8,1,MATCH(I$2,'Worldwide Population'!$1:$1,0))/10^6</f>
        <v>150.30981381925898</v>
      </c>
      <c r="J9" s="1">
        <f>INDEX('Worldwide Population'!8:8,1,MATCH(J$2,'Worldwide Population'!$1:$1,0))/10^6</f>
        <v>158.69964729729699</v>
      </c>
      <c r="L9" s="1">
        <f t="shared" si="3"/>
        <v>50.048596415422665</v>
      </c>
      <c r="M9" s="1">
        <f t="shared" si="4"/>
        <v>61.247233918788794</v>
      </c>
      <c r="N9" s="1">
        <f t="shared" si="5"/>
        <v>44.763130478975697</v>
      </c>
      <c r="O9" s="1">
        <f>INDEX('USA Population'!8:8,1,MATCH(O$2,'USA Population'!$1:$1,0))/10^6</f>
        <v>48.768983117240396</v>
      </c>
      <c r="P9" s="1">
        <f>INDEX('USA Population'!8:8,1,MATCH(P$2,'USA Population'!$1:$1,0))/10^6</f>
        <v>49.880003112257199</v>
      </c>
      <c r="Q9" s="1">
        <f>INDEX('USA Population'!8:8,1,MATCH(Q$2,'USA Population'!$1:$1,0))/10^6</f>
        <v>45.394714730566598</v>
      </c>
      <c r="R9" s="1">
        <f>INDEX('USA Population'!8:8,1,MATCH(R$2,'USA Population'!$1:$1,0))/10^6</f>
        <v>48.379247767890696</v>
      </c>
      <c r="S9" s="1">
        <f>INDEX('USA Population'!8:8,1,MATCH(S$2,'USA Population'!$1:$1,0))/10^6</f>
        <v>51.670178540540505</v>
      </c>
    </row>
    <row r="10" spans="1:30" x14ac:dyDescent="0.3">
      <c r="A10" s="54">
        <v>41640</v>
      </c>
      <c r="B10" s="55">
        <f t="shared" si="2"/>
        <v>2014</v>
      </c>
      <c r="C10" s="1">
        <v>153.96537032757308</v>
      </c>
      <c r="D10" s="1">
        <f>D9*(1+'Summary_Population World_USA'!$V$7)</f>
        <v>208.98292630927602</v>
      </c>
      <c r="E10" s="1">
        <f>E9*(1+'Summary_Population World_USA'!$V$8)</f>
        <v>153.96537032757308</v>
      </c>
      <c r="F10" s="1">
        <f>INDEX('Worldwide Population'!9:9,1,MATCH(F$2,'Worldwide Population'!$1:$1,0))/10^6</f>
        <v>149.12502145887399</v>
      </c>
      <c r="G10" s="1">
        <f>INDEX('Worldwide Population'!9:9,1,MATCH(G$2,'Worldwide Population'!$1:$1,0))/10^6</f>
        <v>159.37700300666799</v>
      </c>
      <c r="H10" s="1">
        <f>INDEX('Worldwide Population'!9:9,1,MATCH(H$2,'Worldwide Population'!$1:$1,0))/10^6</f>
        <v>138.227610131109</v>
      </c>
      <c r="I10" s="1">
        <f>INDEX('Worldwide Population'!9:9,1,MATCH(I$2,'Worldwide Population'!$1:$1,0))/10^6</f>
        <v>152.09590423356101</v>
      </c>
      <c r="J10" s="1">
        <f>INDEX('Worldwide Population'!9:9,1,MATCH(J$2,'Worldwide Population'!$1:$1,0))/10^6</f>
        <v>161.87418205405399</v>
      </c>
      <c r="L10" s="1">
        <f t="shared" si="3"/>
        <v>48.24248270263957</v>
      </c>
      <c r="M10" s="1">
        <f t="shared" si="4"/>
        <v>64.041635960190021</v>
      </c>
      <c r="N10" s="1">
        <f t="shared" si="5"/>
        <v>44.755261512073844</v>
      </c>
      <c r="O10" s="1">
        <f>INDEX('USA Population'!9:9,1,MATCH(O$2,'USA Population'!$1:$1,0))/10^6</f>
        <v>49.286359805389601</v>
      </c>
      <c r="P10" s="1">
        <f>INDEX('USA Population'!9:9,1,MATCH(P$2,'USA Population'!$1:$1,0))/10^6</f>
        <v>50.5096211249707</v>
      </c>
      <c r="Q10" s="1">
        <f>INDEX('USA Population'!9:9,1,MATCH(Q$2,'USA Population'!$1:$1,0))/10^6</f>
        <v>45.468108084126598</v>
      </c>
      <c r="R10" s="1">
        <f>INDEX('USA Population'!9:9,1,MATCH(R$2,'USA Population'!$1:$1,0))/10^6</f>
        <v>48.787343542421993</v>
      </c>
      <c r="S10" s="1">
        <f>INDEX('USA Population'!9:9,1,MATCH(S$2,'USA Population'!$1:$1,0))/10^6</f>
        <v>52.649025189189203</v>
      </c>
    </row>
    <row r="11" spans="1:30" x14ac:dyDescent="0.3">
      <c r="A11" s="54">
        <v>41671</v>
      </c>
      <c r="B11" s="55">
        <f t="shared" si="2"/>
        <v>2014</v>
      </c>
      <c r="C11" s="1">
        <v>156.30329711753126</v>
      </c>
      <c r="D11" s="1">
        <f>D10*(1+'Summary_Population World_USA'!$V$7)</f>
        <v>220.41536414164833</v>
      </c>
      <c r="E11" s="1">
        <f>E10*(1+'Summary_Population World_USA'!$V$8)</f>
        <v>156.30329711753126</v>
      </c>
      <c r="F11" s="1">
        <f>INDEX('Worldwide Population'!10:10,1,MATCH(F$2,'Worldwide Population'!$1:$1,0))/10^6</f>
        <v>150.56693493618801</v>
      </c>
      <c r="G11" s="1">
        <f>INDEX('Worldwide Population'!10:10,1,MATCH(G$2,'Worldwide Population'!$1:$1,0))/10^6</f>
        <v>161.936145336447</v>
      </c>
      <c r="H11" s="1">
        <f>INDEX('Worldwide Population'!10:10,1,MATCH(H$2,'Worldwide Population'!$1:$1,0))/10^6</f>
        <v>138.42706545213301</v>
      </c>
      <c r="I11" s="1">
        <f>INDEX('Worldwide Population'!10:10,1,MATCH(I$2,'Worldwide Population'!$1:$1,0))/10^6</f>
        <v>153.81764625160199</v>
      </c>
      <c r="J11" s="1">
        <f>INDEX('Worldwide Population'!10:10,1,MATCH(J$2,'Worldwide Population'!$1:$1,0))/10^6</f>
        <v>165.04871681081102</v>
      </c>
      <c r="L11" s="1">
        <f t="shared" si="3"/>
        <v>48.975033096826465</v>
      </c>
      <c r="M11" s="1">
        <f t="shared" si="4"/>
        <v>66.963532457575027</v>
      </c>
      <c r="N11" s="1">
        <f t="shared" si="5"/>
        <v>44.747393928467559</v>
      </c>
      <c r="O11" s="1">
        <f>INDEX('USA Population'!10:10,1,MATCH(O$2,'USA Population'!$1:$1,0))/10^6</f>
        <v>49.7927322669074</v>
      </c>
      <c r="P11" s="1">
        <f>INDEX('USA Population'!10:10,1,MATCH(P$2,'USA Population'!$1:$1,0))/10^6</f>
        <v>51.116804146910802</v>
      </c>
      <c r="Q11" s="1">
        <f>INDEX('USA Population'!10:10,1,MATCH(Q$2,'USA Population'!$1:$1,0))/10^6</f>
        <v>45.540033562591205</v>
      </c>
      <c r="R11" s="1">
        <f>INDEX('USA Population'!10:10,1,MATCH(R$2,'USA Population'!$1:$1,0))/10^6</f>
        <v>49.172401579928803</v>
      </c>
      <c r="S11" s="1">
        <f>INDEX('USA Population'!10:10,1,MATCH(S$2,'USA Population'!$1:$1,0))/10^6</f>
        <v>53.627871837837802</v>
      </c>
    </row>
    <row r="12" spans="1:30" x14ac:dyDescent="0.3">
      <c r="A12" s="54">
        <v>41699</v>
      </c>
      <c r="B12" s="55">
        <f t="shared" si="2"/>
        <v>2014</v>
      </c>
      <c r="C12" s="1">
        <v>158.67672475851572</v>
      </c>
      <c r="D12" s="1">
        <f>D11*(1+'Summary_Population World_USA'!$V$7)</f>
        <v>232.47321495439795</v>
      </c>
      <c r="E12" s="1">
        <f>E11*(1+'Summary_Population World_USA'!$V$8)</f>
        <v>158.67672475851572</v>
      </c>
      <c r="F12" s="1">
        <f>INDEX('Worldwide Population'!11:11,1,MATCH(F$2,'Worldwide Population'!$1:$1,0))/10^6</f>
        <v>151.98000991648502</v>
      </c>
      <c r="G12" s="1">
        <f>INDEX('Worldwide Population'!11:11,1,MATCH(G$2,'Worldwide Population'!$1:$1,0))/10^6</f>
        <v>164.42377433548901</v>
      </c>
      <c r="H12" s="1">
        <f>INDEX('Worldwide Population'!11:11,1,MATCH(H$2,'Worldwide Population'!$1:$1,0))/10^6</f>
        <v>138.62253161393801</v>
      </c>
      <c r="I12" s="1">
        <f>INDEX('Worldwide Population'!11:11,1,MATCH(I$2,'Worldwide Population'!$1:$1,0))/10^6</f>
        <v>155.47675126209398</v>
      </c>
      <c r="J12" s="1">
        <f>INDEX('Worldwide Population'!11:11,1,MATCH(J$2,'Worldwide Population'!$1:$1,0))/10^6</f>
        <v>168.22325156756801</v>
      </c>
      <c r="L12" s="1">
        <f t="shared" si="3"/>
        <v>49.718707091001598</v>
      </c>
      <c r="M12" s="1">
        <f t="shared" si="4"/>
        <v>70.018740339240381</v>
      </c>
      <c r="N12" s="1">
        <f t="shared" si="5"/>
        <v>44.739527727913675</v>
      </c>
      <c r="O12" s="1">
        <f>INDEX('USA Population'!11:11,1,MATCH(O$2,'USA Population'!$1:$1,0))/10^6</f>
        <v>50.288334553706896</v>
      </c>
      <c r="P12" s="1">
        <f>INDEX('USA Population'!11:11,1,MATCH(P$2,'USA Population'!$1:$1,0))/10^6</f>
        <v>51.702012039396401</v>
      </c>
      <c r="Q12" s="1">
        <f>INDEX('USA Population'!11:11,1,MATCH(Q$2,'USA Population'!$1:$1,0))/10^6</f>
        <v>45.610520523622803</v>
      </c>
      <c r="R12" s="1">
        <f>INDEX('USA Population'!11:11,1,MATCH(R$2,'USA Population'!$1:$1,0))/10^6</f>
        <v>49.535563334444504</v>
      </c>
      <c r="S12" s="1">
        <f>INDEX('USA Population'!11:11,1,MATCH(S$2,'USA Population'!$1:$1,0))/10^6</f>
        <v>54.6067184864865</v>
      </c>
    </row>
    <row r="13" spans="1:30" x14ac:dyDescent="0.3">
      <c r="A13" s="54">
        <v>41730</v>
      </c>
      <c r="B13" s="55">
        <f t="shared" si="2"/>
        <v>2014</v>
      </c>
      <c r="C13" s="1">
        <v>161.08619232233528</v>
      </c>
      <c r="D13" s="1">
        <f>D12*(1+'Summary_Population World_USA'!$V$7)</f>
        <v>245.19069204496498</v>
      </c>
      <c r="E13" s="1">
        <f>E12*(1+'Summary_Population World_USA'!$V$8)</f>
        <v>161.08619232233528</v>
      </c>
      <c r="F13" s="1">
        <f>INDEX('Worldwide Population'!12:12,1,MATCH(F$2,'Worldwide Population'!$1:$1,0))/10^6</f>
        <v>153.36482317425501</v>
      </c>
      <c r="G13" s="1">
        <f>INDEX('Worldwide Population'!12:12,1,MATCH(G$2,'Worldwide Population'!$1:$1,0))/10^6</f>
        <v>166.840269205688</v>
      </c>
      <c r="H13" s="1">
        <f>INDEX('Worldwide Population'!12:12,1,MATCH(H$2,'Worldwide Population'!$1:$1,0))/10^6</f>
        <v>138.81408840076301</v>
      </c>
      <c r="I13" s="1">
        <f>INDEX('Worldwide Population'!12:12,1,MATCH(I$2,'Worldwide Population'!$1:$1,0))/10^6</f>
        <v>157.07494278272901</v>
      </c>
      <c r="J13" s="1">
        <f>INDEX('Worldwide Population'!12:12,1,MATCH(J$2,'Worldwide Population'!$1:$1,0))/10^6</f>
        <v>171.39778632432402</v>
      </c>
      <c r="L13" s="1">
        <f t="shared" si="3"/>
        <v>50.473673594331721</v>
      </c>
      <c r="M13" s="1">
        <f t="shared" si="4"/>
        <v>73.213341930550669</v>
      </c>
      <c r="N13" s="1">
        <f t="shared" si="5"/>
        <v>44.731662910169064</v>
      </c>
      <c r="O13" s="1">
        <f>INDEX('USA Population'!12:12,1,MATCH(O$2,'USA Population'!$1:$1,0))/10^6</f>
        <v>50.773395739587201</v>
      </c>
      <c r="P13" s="1">
        <f>INDEX('USA Population'!12:12,1,MATCH(P$2,'USA Population'!$1:$1,0))/10^6</f>
        <v>52.265728534066298</v>
      </c>
      <c r="Q13" s="1">
        <f>INDEX('USA Population'!12:12,1,MATCH(Q$2,'USA Population'!$1:$1,0))/10^6</f>
        <v>45.679597737727299</v>
      </c>
      <c r="R13" s="1">
        <f>INDEX('USA Population'!12:12,1,MATCH(R$2,'USA Population'!$1:$1,0))/10^6</f>
        <v>49.8779337463166</v>
      </c>
      <c r="S13" s="1">
        <f>INDEX('USA Population'!12:12,1,MATCH(S$2,'USA Population'!$1:$1,0))/10^6</f>
        <v>55.585565135135099</v>
      </c>
    </row>
    <row r="14" spans="1:30" x14ac:dyDescent="0.3">
      <c r="A14" s="54">
        <v>41760</v>
      </c>
      <c r="B14" s="55">
        <f t="shared" si="2"/>
        <v>2014</v>
      </c>
      <c r="C14" s="1">
        <v>163.53224706647342</v>
      </c>
      <c r="D14" s="1">
        <f>D13*(1+'Summary_Population World_USA'!$V$7)</f>
        <v>258.60388035362149</v>
      </c>
      <c r="E14" s="1">
        <f>E13*(1+'Summary_Population World_USA'!$V$8)</f>
        <v>163.53224706647342</v>
      </c>
      <c r="F14" s="1">
        <f>INDEX('Worldwide Population'!13:13,1,MATCH(F$2,'Worldwide Population'!$1:$1,0))/10^6</f>
        <v>154.721939948407</v>
      </c>
      <c r="G14" s="1">
        <f>INDEX('Worldwide Population'!13:13,1,MATCH(G$2,'Worldwide Population'!$1:$1,0))/10^6</f>
        <v>169.18615973205701</v>
      </c>
      <c r="H14" s="1">
        <f>INDEX('Worldwide Population'!13:13,1,MATCH(H$2,'Worldwide Population'!$1:$1,0))/10^6</f>
        <v>139.001814001144</v>
      </c>
      <c r="I14" s="1">
        <f>INDEX('Worldwide Population'!13:13,1,MATCH(I$2,'Worldwide Population'!$1:$1,0))/10^6</f>
        <v>158.613949312507</v>
      </c>
      <c r="J14" s="1">
        <f>INDEX('Worldwide Population'!13:13,1,MATCH(J$2,'Worldwide Population'!$1:$1,0))/10^6</f>
        <v>174.57232108108101</v>
      </c>
      <c r="L14" s="1">
        <f t="shared" si="3"/>
        <v>51.240104080828338</v>
      </c>
      <c r="M14" s="1">
        <f t="shared" si="4"/>
        <v>76.5536970626667</v>
      </c>
      <c r="N14" s="1">
        <f t="shared" si="5"/>
        <v>44.723799474990635</v>
      </c>
      <c r="O14" s="1">
        <f>INDEX('USA Population'!13:13,1,MATCH(O$2,'USA Population'!$1:$1,0))/10^6</f>
        <v>51.248140026113802</v>
      </c>
      <c r="P14" s="1">
        <f>INDEX('USA Population'!13:13,1,MATCH(P$2,'USA Population'!$1:$1,0))/10^6</f>
        <v>52.808457112397498</v>
      </c>
      <c r="Q14" s="1">
        <f>INDEX('USA Population'!13:13,1,MATCH(Q$2,'USA Population'!$1:$1,0))/10^6</f>
        <v>45.747293399997304</v>
      </c>
      <c r="R14" s="1">
        <f>INDEX('USA Population'!13:13,1,MATCH(R$2,'USA Population'!$1:$1,0))/10^6</f>
        <v>50.200579615230595</v>
      </c>
      <c r="S14" s="1">
        <f>INDEX('USA Population'!13:13,1,MATCH(S$2,'USA Population'!$1:$1,0))/10^6</f>
        <v>56.564411783783804</v>
      </c>
    </row>
    <row r="15" spans="1:30" x14ac:dyDescent="0.3">
      <c r="A15" s="54">
        <v>41791</v>
      </c>
      <c r="B15" s="55">
        <f t="shared" si="2"/>
        <v>2014</v>
      </c>
      <c r="C15" s="1">
        <v>166.01544455838567</v>
      </c>
      <c r="D15" s="1">
        <f>D14*(1+'Summary_Population World_USA'!$V$7)</f>
        <v>272.750838851933</v>
      </c>
      <c r="E15" s="1">
        <f>E14*(1+'Summary_Population World_USA'!$V$8)</f>
        <v>166.01544455838567</v>
      </c>
      <c r="F15" s="1">
        <f>INDEX('Worldwide Population'!14:14,1,MATCH(F$2,'Worldwide Population'!$1:$1,0))/10^6</f>
        <v>156.05191417298201</v>
      </c>
      <c r="G15" s="1">
        <f>INDEX('Worldwide Population'!14:14,1,MATCH(G$2,'Worldwide Population'!$1:$1,0))/10^6</f>
        <v>171.46211208753101</v>
      </c>
      <c r="H15" s="1">
        <f>INDEX('Worldwide Population'!14:14,1,MATCH(H$2,'Worldwide Population'!$1:$1,0))/10^6</f>
        <v>139.18578503982201</v>
      </c>
      <c r="I15" s="1">
        <f>INDEX('Worldwide Population'!14:14,1,MATCH(I$2,'Worldwide Population'!$1:$1,0))/10^6</f>
        <v>160.09549796526102</v>
      </c>
      <c r="J15" s="1">
        <f>INDEX('Worldwide Population'!14:14,1,MATCH(J$2,'Worldwide Population'!$1:$1,0))/10^6</f>
        <v>177.74685583783798</v>
      </c>
      <c r="L15" s="1">
        <f t="shared" si="3"/>
        <v>52.018172628294181</v>
      </c>
      <c r="M15" s="1">
        <f t="shared" si="4"/>
        <v>80.04645573373385</v>
      </c>
      <c r="N15" s="1">
        <f t="shared" si="5"/>
        <v>44.715937422135347</v>
      </c>
      <c r="O15" s="1">
        <f>INDEX('USA Population'!14:14,1,MATCH(O$2,'USA Population'!$1:$1,0))/10^6</f>
        <v>51.712786846247802</v>
      </c>
      <c r="P15" s="1">
        <f>INDEX('USA Population'!14:14,1,MATCH(P$2,'USA Population'!$1:$1,0))/10^6</f>
        <v>53.330717212422996</v>
      </c>
      <c r="Q15" s="1">
        <f>INDEX('USA Population'!14:14,1,MATCH(Q$2,'USA Population'!$1:$1,0))/10^6</f>
        <v>45.813635141620701</v>
      </c>
      <c r="R15" s="1">
        <f>INDEX('USA Population'!14:14,1,MATCH(R$2,'USA Population'!$1:$1,0))/10^6</f>
        <v>50.504528489595799</v>
      </c>
      <c r="S15" s="1">
        <f>INDEX('USA Population'!14:14,1,MATCH(S$2,'USA Population'!$1:$1,0))/10^6</f>
        <v>57.543258432432395</v>
      </c>
    </row>
    <row r="16" spans="1:30" x14ac:dyDescent="0.3">
      <c r="A16" s="54">
        <v>41821</v>
      </c>
      <c r="B16" s="55">
        <f t="shared" si="2"/>
        <v>2014</v>
      </c>
      <c r="C16" s="1">
        <v>168.5363488016846</v>
      </c>
      <c r="D16" s="1">
        <f>D15*(1+'Summary_Population World_USA'!$V$7)</f>
        <v>287.67170853239412</v>
      </c>
      <c r="E16" s="1">
        <f>E15*(1+'Summary_Population World_USA'!$V$8)</f>
        <v>168.5363488016846</v>
      </c>
      <c r="F16" s="1">
        <f>INDEX('Worldwide Population'!15:15,1,MATCH(F$2,'Worldwide Population'!$1:$1,0))/10^6</f>
        <v>157.35528870325402</v>
      </c>
      <c r="G16" s="1">
        <f>INDEX('Worldwide Population'!15:15,1,MATCH(G$2,'Worldwide Population'!$1:$1,0))/10^6</f>
        <v>173.66891527287302</v>
      </c>
      <c r="H16" s="1">
        <f>INDEX('Worldwide Population'!15:15,1,MATCH(H$2,'Worldwide Population'!$1:$1,0))/10^6</f>
        <v>139.366076609027</v>
      </c>
      <c r="I16" s="1">
        <f>INDEX('Worldwide Population'!15:15,1,MATCH(I$2,'Worldwide Population'!$1:$1,0))/10^6</f>
        <v>161.52130882196502</v>
      </c>
      <c r="J16" s="1">
        <f>INDEX('Worldwide Population'!15:15,1,MATCH(J$2,'Worldwide Population'!$1:$1,0))/10^6</f>
        <v>180.92139059459498</v>
      </c>
      <c r="L16" s="1">
        <f t="shared" si="3"/>
        <v>52.808055957861178</v>
      </c>
      <c r="M16" s="1">
        <f t="shared" si="4"/>
        <v>83.698571347736461</v>
      </c>
      <c r="N16" s="1">
        <f t="shared" si="5"/>
        <v>44.708076751360203</v>
      </c>
      <c r="O16" s="1">
        <f>INDEX('USA Population'!15:15,1,MATCH(O$2,'USA Population'!$1:$1,0))/10^6</f>
        <v>52.167550965770197</v>
      </c>
      <c r="P16" s="1">
        <f>INDEX('USA Population'!15:15,1,MATCH(P$2,'USA Population'!$1:$1,0))/10^6</f>
        <v>53.833040750873998</v>
      </c>
      <c r="Q16" s="1">
        <f>INDEX('USA Population'!15:15,1,MATCH(Q$2,'USA Population'!$1:$1,0))/10^6</f>
        <v>45.878650041158402</v>
      </c>
      <c r="R16" s="1">
        <f>INDEX('USA Population'!15:15,1,MATCH(R$2,'USA Population'!$1:$1,0))/10^6</f>
        <v>50.790768000208402</v>
      </c>
      <c r="S16" s="1">
        <f>INDEX('USA Population'!15:15,1,MATCH(S$2,'USA Population'!$1:$1,0))/10^6</f>
        <v>58.522105081081101</v>
      </c>
    </row>
    <row r="17" spans="1:19" x14ac:dyDescent="0.3">
      <c r="A17" s="54">
        <v>41852</v>
      </c>
      <c r="B17" s="55">
        <f t="shared" si="2"/>
        <v>2014</v>
      </c>
      <c r="C17" s="1">
        <v>171.09553236424074</v>
      </c>
      <c r="D17" s="1">
        <f>D16*(1+'Summary_Population World_USA'!$V$7)</f>
        <v>303.4088263056509</v>
      </c>
      <c r="E17" s="1">
        <f>E16*(1+'Summary_Population World_USA'!$V$8)</f>
        <v>171.09553236424074</v>
      </c>
      <c r="F17" s="1">
        <f>INDEX('Worldwide Population'!16:16,1,MATCH(F$2,'Worldwide Population'!$1:$1,0))/10^6</f>
        <v>158.63259553730501</v>
      </c>
      <c r="G17" s="1">
        <f>INDEX('Worldwide Population'!16:16,1,MATCH(G$2,'Worldwide Population'!$1:$1,0))/10^6</f>
        <v>175.807468217462</v>
      </c>
      <c r="H17" s="1">
        <f>INDEX('Worldwide Population'!16:16,1,MATCH(H$2,'Worldwide Population'!$1:$1,0))/10^6</f>
        <v>139.54276229912202</v>
      </c>
      <c r="I17" s="1">
        <f>INDEX('Worldwide Population'!16:16,1,MATCH(I$2,'Worldwide Population'!$1:$1,0))/10^6</f>
        <v>162.89308994310099</v>
      </c>
      <c r="J17" s="1">
        <f>INDEX('Worldwide Population'!16:16,1,MATCH(J$2,'Worldwide Population'!$1:$1,0))/10^6</f>
        <v>184.09592535135099</v>
      </c>
      <c r="L17" s="1">
        <f t="shared" si="3"/>
        <v>53.609933474128766</v>
      </c>
      <c r="M17" s="1">
        <f t="shared" si="4"/>
        <v>87.517314557374405</v>
      </c>
      <c r="N17" s="1">
        <f t="shared" si="5"/>
        <v>44.700217462422238</v>
      </c>
      <c r="O17" s="1">
        <f>INDEX('USA Population'!16:16,1,MATCH(O$2,'USA Population'!$1:$1,0))/10^6</f>
        <v>52.612642582549995</v>
      </c>
      <c r="P17" s="1">
        <f>INDEX('USA Population'!16:16,1,MATCH(P$2,'USA Population'!$1:$1,0))/10^6</f>
        <v>54.315968947598002</v>
      </c>
      <c r="Q17" s="1">
        <f>INDEX('USA Population'!16:16,1,MATCH(Q$2,'USA Population'!$1:$1,0))/10^6</f>
        <v>45.942364635597102</v>
      </c>
      <c r="R17" s="1">
        <f>INDEX('USA Population'!16:16,1,MATCH(R$2,'USA Population'!$1:$1,0))/10^6</f>
        <v>51.060245573658598</v>
      </c>
      <c r="S17" s="1">
        <f>INDEX('USA Population'!16:16,1,MATCH(S$2,'USA Population'!$1:$1,0))/10^6</f>
        <v>59.500951729729699</v>
      </c>
    </row>
    <row r="18" spans="1:19" x14ac:dyDescent="0.3">
      <c r="A18" s="54">
        <v>41883</v>
      </c>
      <c r="B18" s="55">
        <f t="shared" si="2"/>
        <v>2014</v>
      </c>
      <c r="C18" s="1">
        <v>173.69357650822889</v>
      </c>
      <c r="D18" s="1">
        <f>D17*(1+'Summary_Population World_USA'!$V$7)</f>
        <v>320.00684512848539</v>
      </c>
      <c r="E18" s="1">
        <f>E17*(1+'Summary_Population World_USA'!$V$8)</f>
        <v>173.69357650822889</v>
      </c>
      <c r="F18" s="1">
        <f>INDEX('Worldwide Population'!17:17,1,MATCH(F$2,'Worldwide Population'!$1:$1,0))/10^6</f>
        <v>159.88435603317203</v>
      </c>
      <c r="G18" s="1">
        <f>INDEX('Worldwide Population'!17:17,1,MATCH(G$2,'Worldwide Population'!$1:$1,0))/10^6</f>
        <v>177.878767557326</v>
      </c>
      <c r="H18" s="1">
        <f>INDEX('Worldwide Population'!17:17,1,MATCH(H$2,'Worldwide Population'!$1:$1,0))/10^6</f>
        <v>139.71591422864299</v>
      </c>
      <c r="I18" s="1">
        <f>INDEX('Worldwide Population'!17:17,1,MATCH(I$2,'Worldwide Population'!$1:$1,0))/10^6</f>
        <v>164.212532985971</v>
      </c>
      <c r="J18" s="1">
        <f>INDEX('Worldwide Population'!17:17,1,MATCH(J$2,'Worldwide Population'!$1:$1,0))/10^6</f>
        <v>187.27046010810801</v>
      </c>
      <c r="L18" s="1">
        <f t="shared" si="3"/>
        <v>54.423987305911723</v>
      </c>
      <c r="M18" s="1">
        <f t="shared" si="4"/>
        <v>91.510287738520105</v>
      </c>
      <c r="N18" s="1">
        <f t="shared" si="5"/>
        <v>44.692359555078546</v>
      </c>
      <c r="O18" s="1">
        <f>INDEX('USA Population'!17:17,1,MATCH(O$2,'USA Population'!$1:$1,0))/10^6</f>
        <v>53.048267423699897</v>
      </c>
      <c r="P18" s="1">
        <f>INDEX('USA Population'!17:17,1,MATCH(P$2,'USA Population'!$1:$1,0))/10^6</f>
        <v>54.780049438111099</v>
      </c>
      <c r="Q18" s="1">
        <f>INDEX('USA Population'!17:17,1,MATCH(Q$2,'USA Population'!$1:$1,0))/10^6</f>
        <v>46.004804931181106</v>
      </c>
      <c r="R18" s="1">
        <f>INDEX('USA Population'!17:17,1,MATCH(R$2,'USA Population'!$1:$1,0))/10^6</f>
        <v>51.313868467950904</v>
      </c>
      <c r="S18" s="1">
        <f>INDEX('USA Population'!17:17,1,MATCH(S$2,'USA Population'!$1:$1,0))/10^6</f>
        <v>60.479798378378398</v>
      </c>
    </row>
    <row r="19" spans="1:19" x14ac:dyDescent="0.3">
      <c r="A19" s="54">
        <v>41913</v>
      </c>
      <c r="B19" s="55">
        <f t="shared" si="2"/>
        <v>2014</v>
      </c>
      <c r="C19" s="1">
        <v>176.33107132214886</v>
      </c>
      <c r="D19" s="1">
        <f>D18*(1+'Summary_Population World_USA'!$V$7)</f>
        <v>337.51286070341712</v>
      </c>
      <c r="E19" s="1">
        <f>E18*(1+'Summary_Population World_USA'!$V$8)</f>
        <v>176.33107132214886</v>
      </c>
      <c r="F19" s="1">
        <f>INDEX('Worldwide Population'!18:18,1,MATCH(F$2,'Worldwide Population'!$1:$1,0))/10^6</f>
        <v>161.11108112164899</v>
      </c>
      <c r="G19" s="1">
        <f>INDEX('Worldwide Population'!18:18,1,MATCH(G$2,'Worldwide Population'!$1:$1,0))/10^6</f>
        <v>179.88389609861699</v>
      </c>
      <c r="H19" s="1">
        <f>INDEX('Worldwide Population'!18:18,1,MATCH(H$2,'Worldwide Population'!$1:$1,0))/10^6</f>
        <v>139.885603073738</v>
      </c>
      <c r="I19" s="1">
        <f>INDEX('Worldwide Population'!18:18,1,MATCH(I$2,'Worldwide Population'!$1:$1,0))/10^6</f>
        <v>165.48130937542302</v>
      </c>
      <c r="J19" s="1">
        <f>INDEX('Worldwide Population'!18:18,1,MATCH(J$2,'Worldwide Population'!$1:$1,0))/10^6</f>
        <v>190.44499486486501</v>
      </c>
      <c r="L19" s="1">
        <f t="shared" si="3"/>
        <v>55.250402347606645</v>
      </c>
      <c r="M19" s="1">
        <f t="shared" si="4"/>
        <v>95.68544012507202</v>
      </c>
      <c r="N19" s="1">
        <f t="shared" si="5"/>
        <v>44.684503029086251</v>
      </c>
      <c r="O19" s="1">
        <f>INDEX('USA Population'!18:18,1,MATCH(O$2,'USA Population'!$1:$1,0))/10^6</f>
        <v>53.474626840666396</v>
      </c>
      <c r="P19" s="1">
        <f>INDEX('USA Population'!18:18,1,MATCH(P$2,'USA Population'!$1:$1,0))/10^6</f>
        <v>55.225833659458104</v>
      </c>
      <c r="Q19" s="1">
        <f>INDEX('USA Population'!18:18,1,MATCH(Q$2,'USA Population'!$1:$1,0))/10^6</f>
        <v>46.0659964140266</v>
      </c>
      <c r="R19" s="1">
        <f>INDEX('USA Population'!18:18,1,MATCH(R$2,'USA Population'!$1:$1,0))/10^6</f>
        <v>51.552504079256401</v>
      </c>
      <c r="S19" s="1">
        <f>INDEX('USA Population'!18:18,1,MATCH(S$2,'USA Population'!$1:$1,0))/10^6</f>
        <v>61.458645027027003</v>
      </c>
    </row>
    <row r="20" spans="1:19" x14ac:dyDescent="0.3">
      <c r="A20" s="54">
        <v>41944</v>
      </c>
      <c r="B20" s="55">
        <f t="shared" si="2"/>
        <v>2014</v>
      </c>
      <c r="C20" s="1">
        <v>179.00861585485117</v>
      </c>
      <c r="D20" s="1">
        <f>D19*(1+'Summary_Population World_USA'!$V$7)</f>
        <v>355.97654510942249</v>
      </c>
      <c r="E20" s="1">
        <f>E19*(1+'Summary_Population World_USA'!$V$8)</f>
        <v>179.00861585485117</v>
      </c>
      <c r="F20" s="1">
        <f>INDEX('Worldwide Population'!19:19,1,MATCH(F$2,'Worldwide Population'!$1:$1,0))/10^6</f>
        <v>162.31327151483299</v>
      </c>
      <c r="G20" s="1">
        <f>INDEX('Worldwide Population'!19:19,1,MATCH(G$2,'Worldwide Population'!$1:$1,0))/10^6</f>
        <v>181.824011967595</v>
      </c>
      <c r="H20" s="1">
        <f>INDEX('Worldwide Population'!19:19,1,MATCH(H$2,'Worldwide Population'!$1:$1,0))/10^6</f>
        <v>140.05189809701099</v>
      </c>
      <c r="I20" s="1">
        <f>INDEX('Worldwide Population'!19:19,1,MATCH(I$2,'Worldwide Population'!$1:$1,0))/10^6</f>
        <v>166.70106697984099</v>
      </c>
      <c r="J20" s="1">
        <f>INDEX('Worldwide Population'!19:19,1,MATCH(J$2,'Worldwide Population'!$1:$1,0))/10^6</f>
        <v>193.61952962162201</v>
      </c>
      <c r="L20" s="1">
        <f t="shared" si="3"/>
        <v>56.089366301186701</v>
      </c>
      <c r="M20" s="1">
        <f t="shared" si="4"/>
        <v>100.05108363433507</v>
      </c>
      <c r="N20" s="1">
        <f t="shared" si="5"/>
        <v>44.676647884202524</v>
      </c>
      <c r="O20" s="1">
        <f>INDEX('USA Population'!19:19,1,MATCH(O$2,'USA Population'!$1:$1,0))/10^6</f>
        <v>53.891917902296697</v>
      </c>
      <c r="P20" s="1">
        <f>INDEX('USA Population'!19:19,1,MATCH(P$2,'USA Population'!$1:$1,0))/10^6</f>
        <v>55.653874494149697</v>
      </c>
      <c r="Q20" s="1">
        <f>INDEX('USA Population'!19:19,1,MATCH(Q$2,'USA Population'!$1:$1,0))/10^6</f>
        <v>46.125964060525099</v>
      </c>
      <c r="R20" s="1">
        <f>INDEX('USA Population'!19:19,1,MATCH(R$2,'USA Population'!$1:$1,0))/10^6</f>
        <v>51.776980474632801</v>
      </c>
      <c r="S20" s="1">
        <f>INDEX('USA Population'!19:19,1,MATCH(S$2,'USA Population'!$1:$1,0))/10^6</f>
        <v>62.437491675675695</v>
      </c>
    </row>
    <row r="21" spans="1:19" x14ac:dyDescent="0.3">
      <c r="A21" s="54">
        <v>41974</v>
      </c>
      <c r="B21" s="55">
        <f t="shared" si="2"/>
        <v>2014</v>
      </c>
      <c r="C21" s="1">
        <v>181.72681825159779</v>
      </c>
      <c r="D21" s="1">
        <f>D20*(1+'Summary_Population World_USA'!$V$7)</f>
        <v>375.45028774293974</v>
      </c>
      <c r="E21" s="1">
        <f>E20*(1+'Summary_Population World_USA'!$V$8)</f>
        <v>181.72681825159779</v>
      </c>
      <c r="F21" s="1">
        <f>INDEX('Worldwide Population'!20:20,1,MATCH(F$2,'Worldwide Population'!$1:$1,0))/10^6</f>
        <v>163.49141791049999</v>
      </c>
      <c r="G21" s="1">
        <f>INDEX('Worldwide Population'!20:20,1,MATCH(G$2,'Worldwide Population'!$1:$1,0))/10^6</f>
        <v>183.700338442115</v>
      </c>
      <c r="H21" s="1">
        <f>INDEX('Worldwide Population'!20:20,1,MATCH(H$2,'Worldwide Population'!$1:$1,0))/10^6</f>
        <v>140.214867175797</v>
      </c>
      <c r="I21" s="1">
        <f>INDEX('Worldwide Population'!20:20,1,MATCH(I$2,'Worldwide Population'!$1:$1,0))/10^6</f>
        <v>167.873427247563</v>
      </c>
      <c r="J21" s="1">
        <f>INDEX('Worldwide Population'!20:20,1,MATCH(J$2,'Worldwide Population'!$1:$1,0))/10^6</f>
        <v>196.79406437837801</v>
      </c>
      <c r="L21" s="1">
        <f t="shared" si="3"/>
        <v>56.94106971883398</v>
      </c>
      <c r="M21" s="1">
        <f t="shared" si="4"/>
        <v>104.61590941443326</v>
      </c>
      <c r="N21" s="1">
        <f t="shared" si="5"/>
        <v>44.668794120184572</v>
      </c>
      <c r="O21" s="1">
        <f>INDEX('USA Population'!20:20,1,MATCH(O$2,'USA Population'!$1:$1,0))/10^6</f>
        <v>54.300333485926799</v>
      </c>
      <c r="P21" s="1">
        <f>INDEX('USA Population'!20:20,1,MATCH(P$2,'USA Population'!$1:$1,0))/10^6</f>
        <v>56.064724156772193</v>
      </c>
      <c r="Q21" s="1">
        <f>INDEX('USA Population'!20:20,1,MATCH(Q$2,'USA Population'!$1:$1,0))/10^6</f>
        <v>46.184732347537299</v>
      </c>
      <c r="R21" s="1">
        <f>INDEX('USA Population'!20:20,1,MATCH(R$2,'USA Population'!$1:$1,0))/10^6</f>
        <v>51.988087110929101</v>
      </c>
      <c r="S21" s="1">
        <f>INDEX('USA Population'!20:20,1,MATCH(S$2,'USA Population'!$1:$1,0))/10^6</f>
        <v>63.4163383243243</v>
      </c>
    </row>
    <row r="22" spans="1:19" x14ac:dyDescent="0.3">
      <c r="A22" s="54">
        <v>42005</v>
      </c>
      <c r="B22" s="55">
        <f t="shared" si="2"/>
        <v>2015</v>
      </c>
      <c r="C22" s="1">
        <v>184.48629589218893</v>
      </c>
      <c r="D22" s="1">
        <f>D21*(1+'Summary_Population World_USA'!$V$7)</f>
        <v>395.98934396906998</v>
      </c>
      <c r="E22" s="1">
        <f>E21*(1+'Summary_Population World_USA'!$V$8)</f>
        <v>184.48629589218893</v>
      </c>
      <c r="F22" s="1">
        <f>INDEX('Worldwide Population'!21:21,1,MATCH(F$2,'Worldwide Population'!$1:$1,0))/10^6</f>
        <v>164.64600119239398</v>
      </c>
      <c r="G22" s="1">
        <f>INDEX('Worldwide Population'!21:21,1,MATCH(G$2,'Worldwide Population'!$1:$1,0))/10^6</f>
        <v>185.514154454476</v>
      </c>
      <c r="H22" s="1">
        <f>INDEX('Worldwide Population'!21:21,1,MATCH(H$2,'Worldwide Population'!$1:$1,0))/10^6</f>
        <v>140.37457682986701</v>
      </c>
      <c r="I22" s="1">
        <f>INDEX('Worldwide Population'!21:21,1,MATCH(I$2,'Worldwide Population'!$1:$1,0))/10^6</f>
        <v>168.999982762054</v>
      </c>
      <c r="J22" s="1">
        <f>INDEX('Worldwide Population'!21:21,1,MATCH(J$2,'Worldwide Population'!$1:$1,0))/10^6</f>
        <v>199.96859913513501</v>
      </c>
      <c r="L22" s="1">
        <f t="shared" si="3"/>
        <v>54.730934448016058</v>
      </c>
      <c r="M22" s="1">
        <f t="shared" si="4"/>
        <v>109.38900514669714</v>
      </c>
      <c r="N22" s="1">
        <f t="shared" si="5"/>
        <v>44.66094173678966</v>
      </c>
      <c r="O22" s="1">
        <f>INDEX('USA Population'!21:21,1,MATCH(O$2,'USA Population'!$1:$1,0))/10^6</f>
        <v>54.700062366531796</v>
      </c>
      <c r="P22" s="1">
        <f>INDEX('USA Population'!21:21,1,MATCH(P$2,'USA Population'!$1:$1,0))/10^6</f>
        <v>56.458932307883003</v>
      </c>
      <c r="Q22" s="1">
        <f>INDEX('USA Population'!21:21,1,MATCH(Q$2,'USA Population'!$1:$1,0))/10^6</f>
        <v>46.242325262384</v>
      </c>
      <c r="R22" s="1">
        <f>INDEX('USA Population'!21:21,1,MATCH(R$2,'USA Population'!$1:$1,0))/10^6</f>
        <v>52.186575704980598</v>
      </c>
      <c r="S22" s="1">
        <f>INDEX('USA Population'!21:21,1,MATCH(S$2,'USA Population'!$1:$1,0))/10^6</f>
        <v>64.395184972972999</v>
      </c>
    </row>
    <row r="23" spans="1:19" x14ac:dyDescent="0.3">
      <c r="A23" s="54">
        <v>42036</v>
      </c>
      <c r="B23" s="55">
        <f t="shared" si="2"/>
        <v>2015</v>
      </c>
      <c r="C23" s="1">
        <v>187.28767553118726</v>
      </c>
      <c r="D23" s="1">
        <f>D22*(1+'Summary_Population World_USA'!$V$7)</f>
        <v>417.65199190476091</v>
      </c>
      <c r="E23" s="1">
        <f>E22*(1+'Summary_Population World_USA'!$V$8)</f>
        <v>187.28767553118726</v>
      </c>
      <c r="F23" s="1">
        <f>INDEX('Worldwide Population'!22:22,1,MATCH(F$2,'Worldwide Population'!$1:$1,0))/10^6</f>
        <v>165.77749262650801</v>
      </c>
      <c r="G23" s="1">
        <f>INDEX('Worldwide Population'!22:22,1,MATCH(G$2,'Worldwide Population'!$1:$1,0))/10^6</f>
        <v>187.26678575118501</v>
      </c>
      <c r="H23" s="1">
        <f>INDEX('Worldwide Population'!22:22,1,MATCH(H$2,'Worldwide Population'!$1:$1,0))/10^6</f>
        <v>140.53109224857801</v>
      </c>
      <c r="I23" s="1">
        <f>INDEX('Worldwide Population'!22:22,1,MATCH(I$2,'Worldwide Population'!$1:$1,0))/10^6</f>
        <v>170.082295177144</v>
      </c>
      <c r="J23" s="1">
        <f>INDEX('Worldwide Population'!22:22,1,MATCH(J$2,'Worldwide Population'!$1:$1,0))/10^6</f>
        <v>203.14313389189198</v>
      </c>
      <c r="L23" s="1">
        <f t="shared" si="3"/>
        <v>55.562010407585561</v>
      </c>
      <c r="M23" s="1">
        <f t="shared" si="4"/>
        <v>114.37987313747196</v>
      </c>
      <c r="N23" s="1">
        <f t="shared" si="5"/>
        <v>44.65309073377508</v>
      </c>
      <c r="O23" s="1">
        <f>INDEX('USA Population'!22:22,1,MATCH(O$2,'USA Population'!$1:$1,0))/10^6</f>
        <v>55.091289303979906</v>
      </c>
      <c r="P23" s="1">
        <f>INDEX('USA Population'!22:22,1,MATCH(P$2,'USA Population'!$1:$1,0))/10^6</f>
        <v>56.837044379988903</v>
      </c>
      <c r="Q23" s="1">
        <f>INDEX('USA Population'!22:22,1,MATCH(Q$2,'USA Population'!$1:$1,0))/10^6</f>
        <v>46.298766312636999</v>
      </c>
      <c r="R23" s="1">
        <f>INDEX('USA Population'!22:22,1,MATCH(R$2,'USA Population'!$1:$1,0))/10^6</f>
        <v>52.3731612246062</v>
      </c>
      <c r="S23" s="1">
        <f>INDEX('USA Population'!22:22,1,MATCH(S$2,'USA Population'!$1:$1,0))/10^6</f>
        <v>65.374031621621597</v>
      </c>
    </row>
    <row r="24" spans="1:19" x14ac:dyDescent="0.3">
      <c r="A24" s="54">
        <v>42064</v>
      </c>
      <c r="B24" s="55">
        <f t="shared" si="2"/>
        <v>2015</v>
      </c>
      <c r="C24" s="1">
        <v>190.13159344027142</v>
      </c>
      <c r="D24" s="1">
        <f>D23*(1+'Summary_Population World_USA'!$V$7)</f>
        <v>440.49969777883501</v>
      </c>
      <c r="E24" s="1">
        <f>E23*(1+'Summary_Population World_USA'!$V$8)</f>
        <v>190.13159344027142</v>
      </c>
      <c r="F24" s="1">
        <f>INDEX('Worldwide Population'!23:23,1,MATCH(F$2,'Worldwide Population'!$1:$1,0))/10^6</f>
        <v>166.88635405343899</v>
      </c>
      <c r="G24" s="1">
        <f>INDEX('Worldwide Population'!23:23,1,MATCH(G$2,'Worldwide Population'!$1:$1,0))/10^6</f>
        <v>188.95959669164401</v>
      </c>
      <c r="H24" s="1">
        <f>INDEX('Worldwide Population'!23:23,1,MATCH(H$2,'Worldwide Population'!$1:$1,0))/10^6</f>
        <v>140.68447731748302</v>
      </c>
      <c r="I24" s="1">
        <f>INDEX('Worldwide Population'!23:23,1,MATCH(I$2,'Worldwide Population'!$1:$1,0))/10^6</f>
        <v>171.121893496513</v>
      </c>
      <c r="J24" s="1">
        <f>INDEX('Worldwide Population'!23:23,1,MATCH(J$2,'Worldwide Population'!$1:$1,0))/10^6</f>
        <v>206.317668648649</v>
      </c>
      <c r="L24" s="1">
        <f t="shared" si="3"/>
        <v>56.405706053947192</v>
      </c>
      <c r="M24" s="1">
        <f t="shared" si="4"/>
        <v>119.59844923536353</v>
      </c>
      <c r="N24" s="1">
        <f t="shared" si="5"/>
        <v>44.645241110898176</v>
      </c>
      <c r="O24" s="1">
        <f>INDEX('USA Population'!23:23,1,MATCH(O$2,'USA Population'!$1:$1,0))/10^6</f>
        <v>55.474195128431099</v>
      </c>
      <c r="P24" s="1">
        <f>INDEX('USA Population'!23:23,1,MATCH(P$2,'USA Population'!$1:$1,0))/10^6</f>
        <v>57.199600100717298</v>
      </c>
      <c r="Q24" s="1">
        <f>INDEX('USA Population'!23:23,1,MATCH(Q$2,'USA Population'!$1:$1,0))/10^6</f>
        <v>46.354078535714095</v>
      </c>
      <c r="R24" s="1">
        <f>INDEX('USA Population'!23:23,1,MATCH(R$2,'USA Population'!$1:$1,0))/10^6</f>
        <v>52.548522973887799</v>
      </c>
      <c r="S24" s="1">
        <f>INDEX('USA Population'!23:23,1,MATCH(S$2,'USA Population'!$1:$1,0))/10^6</f>
        <v>66.35287827027031</v>
      </c>
    </row>
    <row r="25" spans="1:19" x14ac:dyDescent="0.3">
      <c r="A25" s="54">
        <v>42095</v>
      </c>
      <c r="B25" s="55">
        <f t="shared" si="2"/>
        <v>2015</v>
      </c>
      <c r="C25" s="1">
        <v>193.01869555275107</v>
      </c>
      <c r="D25" s="1">
        <f>D24*(1+'Summary_Population World_USA'!$V$7)</f>
        <v>464.59729033805928</v>
      </c>
      <c r="E25" s="1">
        <f>E24*(1+'Summary_Population World_USA'!$V$8)</f>
        <v>193.01869555275107</v>
      </c>
      <c r="F25" s="1">
        <f>INDEX('Worldwide Population'!24:24,1,MATCH(F$2,'Worldwide Population'!$1:$1,0))/10^6</f>
        <v>167.97303807690298</v>
      </c>
      <c r="G25" s="1">
        <f>INDEX('Worldwide Population'!24:24,1,MATCH(G$2,'Worldwide Population'!$1:$1,0))/10^6</f>
        <v>190.59398266496598</v>
      </c>
      <c r="H25" s="1">
        <f>INDEX('Worldwide Population'!24:24,1,MATCH(H$2,'Worldwide Population'!$1:$1,0))/10^6</f>
        <v>140.834794644406</v>
      </c>
      <c r="I25" s="1">
        <f>INDEX('Worldwide Population'!24:24,1,MATCH(I$2,'Worldwide Population'!$1:$1,0))/10^6</f>
        <v>172.120272664303</v>
      </c>
      <c r="J25" s="1">
        <f>INDEX('Worldwide Population'!24:24,1,MATCH(J$2,'Worldwide Population'!$1:$1,0))/10^6</f>
        <v>209.49220340540501</v>
      </c>
      <c r="L25" s="1">
        <f t="shared" si="3"/>
        <v>57.262213013982823</v>
      </c>
      <c r="M25" s="1">
        <f t="shared" si="4"/>
        <v>125.05512261158269</v>
      </c>
      <c r="N25" s="1">
        <f t="shared" si="5"/>
        <v>44.637392867916333</v>
      </c>
      <c r="O25" s="1">
        <f>INDEX('USA Population'!24:24,1,MATCH(O$2,'USA Population'!$1:$1,0))/10^6</f>
        <v>55.848956823919202</v>
      </c>
      <c r="P25" s="1">
        <f>INDEX('USA Population'!24:24,1,MATCH(P$2,'USA Population'!$1:$1,0))/10^6</f>
        <v>57.547132198707295</v>
      </c>
      <c r="Q25" s="1">
        <f>INDEX('USA Population'!24:24,1,MATCH(Q$2,'USA Population'!$1:$1,0))/10^6</f>
        <v>46.408284508282399</v>
      </c>
      <c r="R25" s="1">
        <f>INDEX('USA Population'!24:24,1,MATCH(R$2,'USA Population'!$1:$1,0))/10^6</f>
        <v>52.713305749762398</v>
      </c>
      <c r="S25" s="1">
        <f>INDEX('USA Population'!24:24,1,MATCH(S$2,'USA Population'!$1:$1,0))/10^6</f>
        <v>67.331724918918894</v>
      </c>
    </row>
    <row r="26" spans="1:19" x14ac:dyDescent="0.3">
      <c r="A26" s="54">
        <v>42125</v>
      </c>
      <c r="B26" s="55">
        <f t="shared" si="2"/>
        <v>2015</v>
      </c>
      <c r="C26" s="1">
        <v>195.94963761027648</v>
      </c>
      <c r="D26" s="1">
        <f>D25*(1+'Summary_Population World_USA'!$V$7)</f>
        <v>490.01314479412127</v>
      </c>
      <c r="E26" s="1">
        <f>E25*(1+'Summary_Population World_USA'!$V$8)</f>
        <v>195.94963761027648</v>
      </c>
      <c r="F26" s="1">
        <f>INDEX('Worldwide Population'!25:25,1,MATCH(F$2,'Worldwide Population'!$1:$1,0))/10^6</f>
        <v>169.03798824846501</v>
      </c>
      <c r="G26" s="1">
        <f>INDEX('Worldwide Population'!25:25,1,MATCH(G$2,'Worldwide Population'!$1:$1,0))/10^6</f>
        <v>192.17136310186402</v>
      </c>
      <c r="H26" s="1">
        <f>INDEX('Worldwide Population'!25:25,1,MATCH(H$2,'Worldwide Population'!$1:$1,0))/10^6</f>
        <v>140.98210558499801</v>
      </c>
      <c r="I26" s="1">
        <f>INDEX('Worldwide Population'!25:25,1,MATCH(I$2,'Worldwide Population'!$1:$1,0))/10^6</f>
        <v>173.07889243628699</v>
      </c>
      <c r="J26" s="1">
        <f>INDEX('Worldwide Population'!25:25,1,MATCH(J$2,'Worldwide Population'!$1:$1,0))/10^6</f>
        <v>212.66673816216201</v>
      </c>
      <c r="L26" s="1">
        <f t="shared" si="3"/>
        <v>58.131725824382031</v>
      </c>
      <c r="M26" s="1">
        <f t="shared" si="4"/>
        <v>130.76075644276679</v>
      </c>
      <c r="N26" s="1">
        <f t="shared" si="5"/>
        <v>44.629546004586977</v>
      </c>
      <c r="O26" s="1">
        <f>INDEX('USA Population'!25:25,1,MATCH(O$2,'USA Population'!$1:$1,0))/10^6</f>
        <v>56.215747610156093</v>
      </c>
      <c r="P26" s="1">
        <f>INDEX('USA Population'!25:25,1,MATCH(P$2,'USA Population'!$1:$1,0))/10^6</f>
        <v>57.880165278251098</v>
      </c>
      <c r="Q26" s="1">
        <f>INDEX('USA Population'!25:25,1,MATCH(Q$2,'USA Population'!$1:$1,0))/10^6</f>
        <v>46.461406355472803</v>
      </c>
      <c r="R26" s="1">
        <f>INDEX('USA Population'!25:25,1,MATCH(R$2,'USA Population'!$1:$1,0))/10^6</f>
        <v>52.868121050128202</v>
      </c>
      <c r="S26" s="1">
        <f>INDEX('USA Population'!25:25,1,MATCH(S$2,'USA Population'!$1:$1,0))/10^6</f>
        <v>68.310571567567607</v>
      </c>
    </row>
    <row r="27" spans="1:19" x14ac:dyDescent="0.3">
      <c r="A27" s="54">
        <v>42156</v>
      </c>
      <c r="B27" s="55">
        <f t="shared" si="2"/>
        <v>2015</v>
      </c>
      <c r="C27" s="1">
        <v>198.92508531177577</v>
      </c>
      <c r="D27" s="1">
        <f>D26*(1+'Summary_Population World_USA'!$V$7)</f>
        <v>516.81937683344836</v>
      </c>
      <c r="E27" s="1">
        <f>E26*(1+'Summary_Population World_USA'!$V$8)</f>
        <v>198.92508531177577</v>
      </c>
      <c r="F27" s="1">
        <f>INDEX('Worldwide Population'!26:26,1,MATCH(F$2,'Worldwide Population'!$1:$1,0))/10^6</f>
        <v>170.081639248595</v>
      </c>
      <c r="G27" s="1">
        <f>INDEX('Worldwide Population'!26:26,1,MATCH(G$2,'Worldwide Population'!$1:$1,0))/10^6</f>
        <v>193.69317505687098</v>
      </c>
      <c r="H27" s="1">
        <f>INDEX('Worldwide Population'!26:26,1,MATCH(H$2,'Worldwide Population'!$1:$1,0))/10^6</f>
        <v>141.12647026778299</v>
      </c>
      <c r="I27" s="1">
        <f>INDEX('Worldwide Population'!26:26,1,MATCH(I$2,'Worldwide Population'!$1:$1,0))/10^6</f>
        <v>173.99917650340899</v>
      </c>
      <c r="J27" s="1">
        <f>INDEX('Worldwide Population'!26:26,1,MATCH(J$2,'Worldwide Population'!$1:$1,0))/10^6</f>
        <v>215.841272918919</v>
      </c>
      <c r="L27" s="1">
        <f t="shared" si="3"/>
        <v>59.01444197582682</v>
      </c>
      <c r="M27" s="1">
        <f t="shared" si="4"/>
        <v>136.72670953745413</v>
      </c>
      <c r="N27" s="1">
        <f t="shared" si="5"/>
        <v>44.621700520667574</v>
      </c>
      <c r="O27" s="1">
        <f>INDEX('USA Population'!26:26,1,MATCH(O$2,'USA Population'!$1:$1,0))/10^6</f>
        <v>56.574737022596004</v>
      </c>
      <c r="P27" s="1">
        <f>INDEX('USA Population'!26:26,1,MATCH(P$2,'USA Population'!$1:$1,0))/10^6</f>
        <v>58.199214849279002</v>
      </c>
      <c r="Q27" s="1">
        <f>INDEX('USA Population'!26:26,1,MATCH(Q$2,'USA Population'!$1:$1,0))/10^6</f>
        <v>46.513465759911597</v>
      </c>
      <c r="R27" s="1">
        <f>INDEX('USA Population'!26:26,1,MATCH(R$2,'USA Population'!$1:$1,0))/10^6</f>
        <v>53.013548316487601</v>
      </c>
      <c r="S27" s="1">
        <f>INDEX('USA Population'!26:26,1,MATCH(S$2,'USA Population'!$1:$1,0))/10^6</f>
        <v>69.289418216216205</v>
      </c>
    </row>
    <row r="28" spans="1:19" x14ac:dyDescent="0.3">
      <c r="A28" s="54">
        <v>42186</v>
      </c>
      <c r="B28" s="55">
        <f t="shared" si="2"/>
        <v>2015</v>
      </c>
      <c r="C28" s="1">
        <v>201.94571446465375</v>
      </c>
      <c r="D28" s="1">
        <f>D27*(1+'Summary_Population World_USA'!$V$7)</f>
        <v>545.09204724035874</v>
      </c>
      <c r="E28" s="1">
        <f>E27*(1+'Summary_Population World_USA'!$V$8)</f>
        <v>201.94571446465375</v>
      </c>
      <c r="F28" s="1">
        <f>INDEX('Worldwide Population'!27:27,1,MATCH(F$2,'Worldwide Population'!$1:$1,0))/10^6</f>
        <v>171.10441706407897</v>
      </c>
      <c r="G28" s="1">
        <f>INDEX('Worldwide Population'!27:27,1,MATCH(G$2,'Worldwide Population'!$1:$1,0))/10^6</f>
        <v>195.16086733498298</v>
      </c>
      <c r="H28" s="1">
        <f>INDEX('Worldwide Population'!27:27,1,MATCH(H$2,'Worldwide Population'!$1:$1,0))/10^6</f>
        <v>141.26794761869698</v>
      </c>
      <c r="I28" s="1">
        <f>INDEX('Worldwide Population'!27:27,1,MATCH(I$2,'Worldwide Population'!$1:$1,0))/10^6</f>
        <v>174.88251184178799</v>
      </c>
      <c r="J28" s="1">
        <f>INDEX('Worldwide Population'!27:27,1,MATCH(J$2,'Worldwide Population'!$1:$1,0))/10^6</f>
        <v>219.015807675676</v>
      </c>
      <c r="L28" s="1">
        <f t="shared" si="3"/>
        <v>59.910561957847285</v>
      </c>
      <c r="M28" s="1">
        <f t="shared" si="4"/>
        <v>142.96485894926499</v>
      </c>
      <c r="N28" s="1">
        <f t="shared" si="5"/>
        <v>44.613856415915642</v>
      </c>
      <c r="O28" s="1">
        <f>INDEX('USA Population'!27:27,1,MATCH(O$2,'USA Population'!$1:$1,0))/10^6</f>
        <v>56.9260909907971</v>
      </c>
      <c r="P28" s="1">
        <f>INDEX('USA Population'!27:27,1,MATCH(P$2,'USA Population'!$1:$1,0))/10^6</f>
        <v>58.5047864998892</v>
      </c>
      <c r="Q28" s="1">
        <f>INDEX('USA Population'!27:27,1,MATCH(Q$2,'USA Population'!$1:$1,0))/10^6</f>
        <v>46.564483970569796</v>
      </c>
      <c r="R28" s="1">
        <f>INDEX('USA Population'!27:27,1,MATCH(R$2,'USA Population'!$1:$1,0))/10^6</f>
        <v>53.150136196647097</v>
      </c>
      <c r="S28" s="1">
        <f>INDEX('USA Population'!27:27,1,MATCH(S$2,'USA Population'!$1:$1,0))/10^6</f>
        <v>70.268264864864904</v>
      </c>
    </row>
    <row r="29" spans="1:19" x14ac:dyDescent="0.3">
      <c r="A29" s="54">
        <v>42217</v>
      </c>
      <c r="B29" s="55">
        <f t="shared" si="2"/>
        <v>2015</v>
      </c>
      <c r="C29" s="1">
        <v>205.01221113828666</v>
      </c>
      <c r="D29" s="1">
        <f>D28*(1+'Summary_Population World_USA'!$V$7)</f>
        <v>574.91137771414844</v>
      </c>
      <c r="E29" s="1">
        <f>E28*(1+'Summary_Population World_USA'!$V$8)</f>
        <v>205.01221113828666</v>
      </c>
      <c r="F29" s="1">
        <f>INDEX('Worldwide Population'!28:28,1,MATCH(F$2,'Worldwide Population'!$1:$1,0))/10^6</f>
        <v>172.10673916190402</v>
      </c>
      <c r="G29" s="1">
        <f>INDEX('Worldwide Population'!28:28,1,MATCH(G$2,'Worldwide Population'!$1:$1,0))/10^6</f>
        <v>196.575895135965</v>
      </c>
      <c r="H29" s="1">
        <f>INDEX('Worldwide Population'!28:28,1,MATCH(H$2,'Worldwide Population'!$1:$1,0))/10^6</f>
        <v>141.40659538514097</v>
      </c>
      <c r="I29" s="1">
        <f>INDEX('Worldwide Population'!28:28,1,MATCH(I$2,'Worldwide Population'!$1:$1,0))/10^6</f>
        <v>175.73024826535601</v>
      </c>
      <c r="J29" s="1">
        <f>INDEX('Worldwide Population'!28:28,1,MATCH(J$2,'Worldwide Population'!$1:$1,0))/10^6</f>
        <v>222.190342432432</v>
      </c>
      <c r="L29" s="1">
        <f t="shared" si="3"/>
        <v>60.820289304358383</v>
      </c>
      <c r="M29" s="1">
        <f t="shared" si="4"/>
        <v>149.48762362180818</v>
      </c>
      <c r="N29" s="1">
        <f t="shared" si="5"/>
        <v>44.60601369008873</v>
      </c>
      <c r="O29" s="1">
        <f>INDEX('USA Population'!28:28,1,MATCH(O$2,'USA Population'!$1:$1,0))/10^6</f>
        <v>57.2699719151165</v>
      </c>
      <c r="P29" s="1">
        <f>INDEX('USA Population'!28:28,1,MATCH(P$2,'USA Population'!$1:$1,0))/10^6</f>
        <v>58.797375199265801</v>
      </c>
      <c r="Q29" s="1">
        <f>INDEX('USA Population'!28:28,1,MATCH(Q$2,'USA Population'!$1:$1,0))/10^6</f>
        <v>46.614481811437003</v>
      </c>
      <c r="R29" s="1">
        <f>INDEX('USA Population'!28:28,1,MATCH(R$2,'USA Population'!$1:$1,0))/10^6</f>
        <v>53.278403815211</v>
      </c>
      <c r="S29" s="1">
        <f>INDEX('USA Population'!28:28,1,MATCH(S$2,'USA Population'!$1:$1,0))/10^6</f>
        <v>71.247111513513502</v>
      </c>
    </row>
    <row r="30" spans="1:19" x14ac:dyDescent="0.3">
      <c r="A30" s="54">
        <v>42248</v>
      </c>
      <c r="B30" s="55">
        <f t="shared" si="2"/>
        <v>2015</v>
      </c>
      <c r="C30" s="1">
        <v>208.12527181984777</v>
      </c>
      <c r="D30" s="1">
        <f>D29*(1+'Summary_Population World_USA'!$V$7)</f>
        <v>606.36197849247992</v>
      </c>
      <c r="E30" s="1">
        <f>E29*(1+'Summary_Population World_USA'!$V$8)</f>
        <v>208.12527181984777</v>
      </c>
      <c r="F30" s="1">
        <f>INDEX('Worldwide Population'!29:29,1,MATCH(F$2,'Worldwide Population'!$1:$1,0))/10^6</f>
        <v>173.08901465964999</v>
      </c>
      <c r="G30" s="1">
        <f>INDEX('Worldwide Population'!29:29,1,MATCH(G$2,'Worldwide Population'!$1:$1,0))/10^6</f>
        <v>197.939715189168</v>
      </c>
      <c r="H30" s="1">
        <f>INDEX('Worldwide Population'!29:29,1,MATCH(H$2,'Worldwide Population'!$1:$1,0))/10^6</f>
        <v>141.542470159554</v>
      </c>
      <c r="I30" s="1">
        <f>INDEX('Worldwide Population'!29:29,1,MATCH(I$2,'Worldwide Population'!$1:$1,0))/10^6</f>
        <v>176.54369815927402</v>
      </c>
      <c r="J30" s="1">
        <f>INDEX('Worldwide Population'!29:29,1,MATCH(J$2,'Worldwide Population'!$1:$1,0))/10^6</f>
        <v>225.36487718918897</v>
      </c>
      <c r="L30" s="1">
        <f t="shared" si="3"/>
        <v>61.743830639888174</v>
      </c>
      <c r="M30" s="1">
        <f t="shared" si="4"/>
        <v>156.30798911238512</v>
      </c>
      <c r="N30" s="1">
        <f t="shared" si="5"/>
        <v>44.598172342944437</v>
      </c>
      <c r="O30" s="1">
        <f>INDEX('USA Population'!29:29,1,MATCH(O$2,'USA Population'!$1:$1,0))/10^6</f>
        <v>57.6065387417732</v>
      </c>
      <c r="P30" s="1">
        <f>INDEX('USA Population'!29:29,1,MATCH(P$2,'USA Population'!$1:$1,0))/10^6</f>
        <v>59.077464719485199</v>
      </c>
      <c r="Q30" s="1">
        <f>INDEX('USA Population'!29:29,1,MATCH(Q$2,'USA Population'!$1:$1,0))/10^6</f>
        <v>46.663479690020502</v>
      </c>
      <c r="R30" s="1">
        <f>INDEX('USA Population'!29:29,1,MATCH(R$2,'USA Population'!$1:$1,0))/10^6</f>
        <v>53.398842041542402</v>
      </c>
      <c r="S30" s="1">
        <f>INDEX('USA Population'!29:29,1,MATCH(S$2,'USA Population'!$1:$1,0))/10^6</f>
        <v>72.2259581621622</v>
      </c>
    </row>
    <row r="31" spans="1:19" x14ac:dyDescent="0.3">
      <c r="A31" s="54">
        <v>42278</v>
      </c>
      <c r="B31" s="55">
        <f t="shared" si="2"/>
        <v>2015</v>
      </c>
      <c r="C31" s="1">
        <v>211.2856035724991</v>
      </c>
      <c r="D31" s="1">
        <f>D30*(1+'Summary_Population World_USA'!$V$7)</f>
        <v>639.53308842693707</v>
      </c>
      <c r="E31" s="1">
        <f>E30*(1+'Summary_Population World_USA'!$V$8)</f>
        <v>211.2856035724991</v>
      </c>
      <c r="F31" s="1">
        <f>INDEX('Worldwide Population'!30:30,1,MATCH(F$2,'Worldwide Population'!$1:$1,0))/10^6</f>
        <v>174.05164449248099</v>
      </c>
      <c r="G31" s="1">
        <f>INDEX('Worldwide Population'!30:30,1,MATCH(G$2,'Worldwide Population'!$1:$1,0))/10^6</f>
        <v>199.253781351573</v>
      </c>
      <c r="H31" s="1">
        <f>INDEX('Worldwide Population'!30:30,1,MATCH(H$2,'Worldwide Population'!$1:$1,0))/10^6</f>
        <v>141.67562740250997</v>
      </c>
      <c r="I31" s="1">
        <f>INDEX('Worldwide Population'!30:30,1,MATCH(I$2,'Worldwide Population'!$1:$1,0))/10^6</f>
        <v>177.32413637413401</v>
      </c>
      <c r="J31" s="1">
        <f>INDEX('Worldwide Population'!30:30,1,MATCH(J$2,'Worldwide Population'!$1:$1,0))/10^6</f>
        <v>228.539411945946</v>
      </c>
      <c r="L31" s="1">
        <f t="shared" si="3"/>
        <v>62.681395726508072</v>
      </c>
      <c r="M31" s="1">
        <f t="shared" si="4"/>
        <v>163.4395334437117</v>
      </c>
      <c r="N31" s="1">
        <f t="shared" si="5"/>
        <v>44.590332374240404</v>
      </c>
      <c r="O31" s="1">
        <f>INDEX('USA Population'!30:30,1,MATCH(O$2,'USA Population'!$1:$1,0))/10^6</f>
        <v>57.935947036315902</v>
      </c>
      <c r="P31" s="1">
        <f>INDEX('USA Population'!30:30,1,MATCH(P$2,'USA Population'!$1:$1,0))/10^6</f>
        <v>59.345527165377298</v>
      </c>
      <c r="Q31" s="1">
        <f>INDEX('USA Population'!30:30,1,MATCH(Q$2,'USA Population'!$1:$1,0))/10^6</f>
        <v>46.711497605675305</v>
      </c>
      <c r="R31" s="1">
        <f>INDEX('USA Population'!30:30,1,MATCH(R$2,'USA Population'!$1:$1,0))/10^6</f>
        <v>53.511914746585802</v>
      </c>
      <c r="S31" s="1">
        <f>INDEX('USA Population'!30:30,1,MATCH(S$2,'USA Population'!$1:$1,0))/10^6</f>
        <v>73.204804810810799</v>
      </c>
    </row>
    <row r="32" spans="1:19" x14ac:dyDescent="0.3">
      <c r="A32" s="54">
        <v>42309</v>
      </c>
      <c r="B32" s="55">
        <f t="shared" si="2"/>
        <v>2015</v>
      </c>
      <c r="C32" s="1">
        <v>214.49392419598522</v>
      </c>
      <c r="D32" s="1">
        <f>D31*(1+'Summary_Population World_USA'!$V$7)</f>
        <v>674.51882819194429</v>
      </c>
      <c r="E32" s="1">
        <f>E31*(1+'Summary_Population World_USA'!$V$8)</f>
        <v>214.49392419598522</v>
      </c>
      <c r="F32" s="1">
        <f>INDEX('Worldwide Population'!31:31,1,MATCH(F$2,'Worldwide Population'!$1:$1,0))/10^6</f>
        <v>174.99502157679501</v>
      </c>
      <c r="G32" s="1">
        <f>INDEX('Worldwide Population'!31:31,1,MATCH(G$2,'Worldwide Population'!$1:$1,0))/10^6</f>
        <v>200.51954064189698</v>
      </c>
      <c r="H32" s="1">
        <f>INDEX('Worldwide Population'!31:31,1,MATCH(H$2,'Worldwide Population'!$1:$1,0))/10^6</f>
        <v>141.80612146535799</v>
      </c>
      <c r="I32" s="1">
        <f>INDEX('Worldwide Population'!31:31,1,MATCH(I$2,'Worldwide Population'!$1:$1,0))/10^6</f>
        <v>178.07280026262001</v>
      </c>
      <c r="J32" s="1">
        <f>INDEX('Worldwide Population'!31:31,1,MATCH(J$2,'Worldwide Population'!$1:$1,0))/10^6</f>
        <v>231.713946702703</v>
      </c>
      <c r="L32" s="1">
        <f t="shared" si="3"/>
        <v>63.633197511475622</v>
      </c>
      <c r="M32" s="1">
        <f t="shared" si="4"/>
        <v>170.89645413512378</v>
      </c>
      <c r="N32" s="1">
        <f t="shared" si="5"/>
        <v>44.582493783734307</v>
      </c>
      <c r="O32" s="1">
        <f>INDEX('USA Population'!31:31,1,MATCH(O$2,'USA Population'!$1:$1,0))/10^6</f>
        <v>58.2583490555268</v>
      </c>
      <c r="P32" s="1">
        <f>INDEX('USA Population'!31:31,1,MATCH(P$2,'USA Population'!$1:$1,0))/10^6</f>
        <v>59.602022602273394</v>
      </c>
      <c r="Q32" s="1">
        <f>INDEX('USA Population'!31:31,1,MATCH(Q$2,'USA Population'!$1:$1,0))/10^6</f>
        <v>46.758555157767105</v>
      </c>
      <c r="R32" s="1">
        <f>INDEX('USA Population'!31:31,1,MATCH(R$2,'USA Population'!$1:$1,0))/10^6</f>
        <v>53.618060041432095</v>
      </c>
      <c r="S32" s="1">
        <f>INDEX('USA Population'!31:31,1,MATCH(S$2,'USA Population'!$1:$1,0))/10^6</f>
        <v>74.183651459459497</v>
      </c>
    </row>
    <row r="33" spans="1:19" x14ac:dyDescent="0.3">
      <c r="A33" s="54">
        <v>42339</v>
      </c>
      <c r="B33" s="55">
        <f t="shared" si="2"/>
        <v>2015</v>
      </c>
      <c r="C33" s="1">
        <v>217.75096238966563</v>
      </c>
      <c r="D33" s="1">
        <f>D32*(1+'Summary_Population World_USA'!$V$7)</f>
        <v>711.41846734551245</v>
      </c>
      <c r="E33" s="1">
        <f>E32*(1+'Summary_Population World_USA'!$V$8)</f>
        <v>217.75096238966563</v>
      </c>
      <c r="F33" s="1">
        <f>INDEX('Worldwide Population'!32:32,1,MATCH(F$2,'Worldwide Population'!$1:$1,0))/10^6</f>
        <v>175.919530970599</v>
      </c>
      <c r="G33" s="1">
        <f>INDEX('Worldwide Population'!32:32,1,MATCH(G$2,'Worldwide Population'!$1:$1,0))/10^6</f>
        <v>201.73842968395999</v>
      </c>
      <c r="H33" s="1">
        <f>INDEX('Worldwide Population'!32:32,1,MATCH(H$2,'Worldwide Population'!$1:$1,0))/10^6</f>
        <v>141.934005612406</v>
      </c>
      <c r="I33" s="1">
        <f>INDEX('Worldwide Population'!32:32,1,MATCH(I$2,'Worldwide Population'!$1:$1,0))/10^6</f>
        <v>178.79088984191</v>
      </c>
      <c r="J33" s="1">
        <f>INDEX('Worldwide Population'!32:32,1,MATCH(J$2,'Worldwide Population'!$1:$1,0))/10^6</f>
        <v>234.88848145946</v>
      </c>
      <c r="L33" s="1">
        <f t="shared" si="3"/>
        <v>64.599452175600803</v>
      </c>
      <c r="M33" s="1">
        <f t="shared" si="4"/>
        <v>178.69359646708014</v>
      </c>
      <c r="N33" s="1">
        <f t="shared" si="5"/>
        <v>44.57465657118388</v>
      </c>
      <c r="O33" s="1">
        <f>INDEX('USA Population'!32:32,1,MATCH(O$2,'USA Population'!$1:$1,0))/10^6</f>
        <v>58.573893817796794</v>
      </c>
      <c r="P33" s="1">
        <f>INDEX('USA Population'!32:32,1,MATCH(P$2,'USA Population'!$1:$1,0))/10^6</f>
        <v>59.847398772129296</v>
      </c>
      <c r="Q33" s="1">
        <f>INDEX('USA Population'!32:32,1,MATCH(Q$2,'USA Population'!$1:$1,0))/10^6</f>
        <v>46.8046715536722</v>
      </c>
      <c r="R33" s="1">
        <f>INDEX('USA Population'!32:32,1,MATCH(R$2,'USA Population'!$1:$1,0))/10^6</f>
        <v>53.717691491820901</v>
      </c>
      <c r="S33" s="1">
        <f>INDEX('USA Population'!32:32,1,MATCH(S$2,'USA Population'!$1:$1,0))/10^6</f>
        <v>75.16249810810811</v>
      </c>
    </row>
    <row r="34" spans="1:19" x14ac:dyDescent="0.3">
      <c r="A34" s="54">
        <v>42370</v>
      </c>
      <c r="B34" s="55">
        <f t="shared" si="2"/>
        <v>2016</v>
      </c>
      <c r="C34" s="1">
        <v>221.05745791802281</v>
      </c>
      <c r="D34" s="1">
        <f>D33*(1+'Summary_Population World_USA'!$V$7)</f>
        <v>750.33670599957679</v>
      </c>
      <c r="E34" s="1">
        <f>E33*(1+'Summary_Population World_USA'!$V$8)</f>
        <v>221.05745791802281</v>
      </c>
      <c r="F34" s="1">
        <f>INDEX('Worldwide Population'!33:33,1,MATCH(F$2,'Worldwide Population'!$1:$1,0))/10^6</f>
        <v>176.82555003067898</v>
      </c>
      <c r="G34" s="1">
        <f>INDEX('Worldwide Population'!33:33,1,MATCH(G$2,'Worldwide Population'!$1:$1,0))/10^6</f>
        <v>202.91187153306498</v>
      </c>
      <c r="H34" s="1">
        <f>INDEX('Worldwide Population'!33:33,1,MATCH(H$2,'Worldwide Population'!$1:$1,0))/10^6</f>
        <v>142.05933204265901</v>
      </c>
      <c r="I34" s="1">
        <f>INDEX('Worldwide Population'!33:33,1,MATCH(I$2,'Worldwide Population'!$1:$1,0))/10^6</f>
        <v>179.47956806658502</v>
      </c>
      <c r="J34" s="1">
        <f>INDEX('Worldwide Population'!33:33,1,MATCH(J$2,'Worldwide Population'!$1:$1,0))/10^6</f>
        <v>238.063016216216</v>
      </c>
      <c r="L34" s="1">
        <f t="shared" si="3"/>
        <v>61.89608821704639</v>
      </c>
      <c r="M34" s="1">
        <f t="shared" si="4"/>
        <v>186.84648303523181</v>
      </c>
      <c r="N34" s="1">
        <f t="shared" si="5"/>
        <v>44.566820736346884</v>
      </c>
      <c r="O34" s="1">
        <f>INDEX('USA Population'!33:33,1,MATCH(O$2,'USA Population'!$1:$1,0))/10^6</f>
        <v>58.882727172003904</v>
      </c>
      <c r="P34" s="1">
        <f>INDEX('USA Population'!33:33,1,MATCH(P$2,'USA Population'!$1:$1,0))/10^6</f>
        <v>60.0820908891572</v>
      </c>
      <c r="Q34" s="1">
        <f>INDEX('USA Population'!33:33,1,MATCH(Q$2,'USA Population'!$1:$1,0))/10^6</f>
        <v>46.849865616617201</v>
      </c>
      <c r="R34" s="1">
        <f>INDEX('USA Population'!33:33,1,MATCH(R$2,'USA Population'!$1:$1,0))/10^6</f>
        <v>53.811199303902796</v>
      </c>
      <c r="S34" s="1">
        <f>INDEX('USA Population'!33:33,1,MATCH(S$2,'USA Population'!$1:$1,0))/10^6</f>
        <v>76.141344756756794</v>
      </c>
    </row>
    <row r="35" spans="1:19" x14ac:dyDescent="0.3">
      <c r="A35" s="54">
        <v>42401</v>
      </c>
      <c r="B35" s="55">
        <f t="shared" si="2"/>
        <v>2016</v>
      </c>
      <c r="C35" s="1">
        <v>224.41416177868339</v>
      </c>
      <c r="D35" s="1">
        <f>D34*(1+'Summary_Population World_USA'!$V$7)</f>
        <v>791.38397189914713</v>
      </c>
      <c r="E35" s="1">
        <f>E34*(1+'Summary_Population World_USA'!$V$8)</f>
        <v>224.41416177868339</v>
      </c>
      <c r="F35" s="1">
        <f>INDEX('Worldwide Population'!34:34,1,MATCH(F$2,'Worldwide Population'!$1:$1,0))/10^6</f>
        <v>177.71344856662802</v>
      </c>
      <c r="G35" s="1">
        <f>INDEX('Worldwide Population'!34:34,1,MATCH(G$2,'Worldwide Population'!$1:$1,0))/10^6</f>
        <v>204.041272859793</v>
      </c>
      <c r="H35" s="1">
        <f>INDEX('Worldwide Population'!34:34,1,MATCH(H$2,'Worldwide Population'!$1:$1,0))/10^6</f>
        <v>142.182151911131</v>
      </c>
      <c r="I35" s="1">
        <f>INDEX('Worldwide Population'!34:34,1,MATCH(I$2,'Worldwide Population'!$1:$1,0))/10^6</f>
        <v>180.13996119814701</v>
      </c>
      <c r="J35" s="1">
        <f>INDEX('Worldwide Population'!34:34,1,MATCH(J$2,'Worldwide Population'!$1:$1,0))/10^6</f>
        <v>241.237550972973</v>
      </c>
      <c r="L35" s="1">
        <f t="shared" si="3"/>
        <v>62.835965298031354</v>
      </c>
      <c r="M35" s="1">
        <f t="shared" si="4"/>
        <v>195.37134465289452</v>
      </c>
      <c r="N35" s="1">
        <f t="shared" si="5"/>
        <v>44.558986278981131</v>
      </c>
      <c r="O35" s="1">
        <f>INDEX('USA Population'!34:34,1,MATCH(O$2,'USA Population'!$1:$1,0))/10^6</f>
        <v>59.184991864926303</v>
      </c>
      <c r="P35" s="1">
        <f>INDEX('USA Population'!34:34,1,MATCH(P$2,'USA Population'!$1:$1,0))/10^6</f>
        <v>60.306521506722099</v>
      </c>
      <c r="Q35" s="1">
        <f>INDEX('USA Population'!34:34,1,MATCH(Q$2,'USA Population'!$1:$1,0))/10^6</f>
        <v>46.894155793362202</v>
      </c>
      <c r="R35" s="1">
        <f>INDEX('USA Population'!34:34,1,MATCH(R$2,'USA Population'!$1:$1,0))/10^6</f>
        <v>53.898951477573405</v>
      </c>
      <c r="S35" s="1">
        <f>INDEX('USA Population'!34:34,1,MATCH(S$2,'USA Population'!$1:$1,0))/10^6</f>
        <v>77.120191405405407</v>
      </c>
    </row>
    <row r="36" spans="1:19" x14ac:dyDescent="0.3">
      <c r="A36" s="54">
        <v>42430</v>
      </c>
      <c r="B36" s="55">
        <f t="shared" si="2"/>
        <v>2016</v>
      </c>
      <c r="C36" s="1">
        <v>227.82183637299076</v>
      </c>
      <c r="D36" s="1">
        <f>D35*(1+'Summary_Population World_USA'!$V$7)</f>
        <v>834.67673375321101</v>
      </c>
      <c r="E36" s="1">
        <f>E35*(1+'Summary_Population World_USA'!$V$8)</f>
        <v>227.82183637299076</v>
      </c>
      <c r="F36" s="1">
        <f>INDEX('Worldwide Population'!35:35,1,MATCH(F$2,'Worldwide Population'!$1:$1,0))/10^6</f>
        <v>178.583588991787</v>
      </c>
      <c r="G36" s="1">
        <f>INDEX('Worldwide Population'!35:35,1,MATCH(G$2,'Worldwide Population'!$1:$1,0))/10^6</f>
        <v>205.128021466447</v>
      </c>
      <c r="H36" s="1">
        <f>INDEX('Worldwide Population'!35:35,1,MATCH(H$2,'Worldwide Population'!$1:$1,0))/10^6</f>
        <v>142.30251534972101</v>
      </c>
      <c r="I36" s="1">
        <f>INDEX('Worldwide Population'!35:35,1,MATCH(I$2,'Worldwide Population'!$1:$1,0))/10^6</f>
        <v>180.77315925852503</v>
      </c>
      <c r="J36" s="1">
        <f>INDEX('Worldwide Population'!35:35,1,MATCH(J$2,'Worldwide Population'!$1:$1,0))/10^6</f>
        <v>244.41208572973002</v>
      </c>
      <c r="L36" s="1">
        <f t="shared" si="3"/>
        <v>63.790114184437421</v>
      </c>
      <c r="M36" s="1">
        <f t="shared" si="4"/>
        <v>204.2851526634449</v>
      </c>
      <c r="N36" s="1">
        <f t="shared" si="5"/>
        <v>44.551153198844474</v>
      </c>
      <c r="O36" s="1">
        <f>INDEX('USA Population'!35:35,1,MATCH(O$2,'USA Population'!$1:$1,0))/10^6</f>
        <v>59.480827607221798</v>
      </c>
      <c r="P36" s="1">
        <f>INDEX('USA Population'!35:35,1,MATCH(P$2,'USA Population'!$1:$1,0))/10^6</f>
        <v>60.521100447865699</v>
      </c>
      <c r="Q36" s="1">
        <f>INDEX('USA Population'!35:35,1,MATCH(Q$2,'USA Population'!$1:$1,0))/10^6</f>
        <v>46.937560161729905</v>
      </c>
      <c r="R36" s="1">
        <f>INDEX('USA Population'!35:35,1,MATCH(R$2,'USA Population'!$1:$1,0))/10^6</f>
        <v>53.981294924535803</v>
      </c>
      <c r="S36" s="1">
        <f>INDEX('USA Population'!35:35,1,MATCH(S$2,'USA Population'!$1:$1,0))/10^6</f>
        <v>78.099038054054091</v>
      </c>
    </row>
    <row r="37" spans="1:19" x14ac:dyDescent="0.3">
      <c r="A37" s="54">
        <v>42461</v>
      </c>
      <c r="B37" s="55">
        <f t="shared" si="2"/>
        <v>2016</v>
      </c>
      <c r="C37" s="1">
        <v>231.28125567916769</v>
      </c>
      <c r="D37" s="1">
        <f>D36*(1+'Summary_Population World_USA'!$V$7)</f>
        <v>880.33783170644415</v>
      </c>
      <c r="E37" s="1">
        <f>E36*(1+'Summary_Population World_USA'!$V$8)</f>
        <v>231.28125567916769</v>
      </c>
      <c r="F37" s="1">
        <f>INDEX('Worldwide Population'!36:36,1,MATCH(F$2,'Worldwide Population'!$1:$1,0))/10^6</f>
        <v>179.43632647117201</v>
      </c>
      <c r="G37" s="1">
        <f>INDEX('Worldwide Population'!36:36,1,MATCH(G$2,'Worldwide Population'!$1:$1,0))/10^6</f>
        <v>206.17348411226499</v>
      </c>
      <c r="H37" s="1">
        <f>INDEX('Worldwide Population'!36:36,1,MATCH(H$2,'Worldwide Population'!$1:$1,0))/10^6</f>
        <v>142.42047148767702</v>
      </c>
      <c r="I37" s="1">
        <f>INDEX('Worldwide Population'!36:36,1,MATCH(I$2,'Worldwide Population'!$1:$1,0))/10^6</f>
        <v>181.38021655611701</v>
      </c>
      <c r="J37" s="1">
        <f>INDEX('Worldwide Population'!36:36,1,MATCH(J$2,'Worldwide Population'!$1:$1,0))/10^6</f>
        <v>247.58662048648699</v>
      </c>
      <c r="L37" s="1">
        <f t="shared" si="3"/>
        <v>64.758751590166952</v>
      </c>
      <c r="M37" s="1">
        <f t="shared" si="4"/>
        <v>213.60565272696812</v>
      </c>
      <c r="N37" s="1">
        <f t="shared" si="5"/>
        <v>44.543321495694812</v>
      </c>
      <c r="O37" s="1">
        <f>INDEX('USA Population'!36:36,1,MATCH(O$2,'USA Population'!$1:$1,0))/10^6</f>
        <v>59.770371138003902</v>
      </c>
      <c r="P37" s="1">
        <f>INDEX('USA Population'!36:36,1,MATCH(P$2,'USA Population'!$1:$1,0))/10^6</f>
        <v>60.726224792396003</v>
      </c>
      <c r="Q37" s="1">
        <f>INDEX('USA Population'!36:36,1,MATCH(Q$2,'USA Population'!$1:$1,0))/10^6</f>
        <v>46.980096437984798</v>
      </c>
      <c r="R37" s="1">
        <f>INDEX('USA Population'!36:36,1,MATCH(R$2,'USA Population'!$1:$1,0))/10^6</f>
        <v>54.058556548980803</v>
      </c>
      <c r="S37" s="1">
        <f>INDEX('USA Population'!36:36,1,MATCH(S$2,'USA Population'!$1:$1,0))/10^6</f>
        <v>79.077884702702704</v>
      </c>
    </row>
    <row r="38" spans="1:19" x14ac:dyDescent="0.3">
      <c r="A38" s="54">
        <v>42491</v>
      </c>
      <c r="B38" s="55">
        <f t="shared" si="2"/>
        <v>2016</v>
      </c>
      <c r="C38" s="1">
        <v>234.79320542810848</v>
      </c>
      <c r="D38" s="1">
        <f>D37*(1+'Summary_Population World_USA'!$V$7)</f>
        <v>928.49682588941835</v>
      </c>
      <c r="E38" s="1">
        <f>E37*(1+'Summary_Population World_USA'!$V$8)</f>
        <v>234.79320542810848</v>
      </c>
      <c r="F38" s="1">
        <f>INDEX('Worldwide Population'!37:37,1,MATCH(F$2,'Worldwide Population'!$1:$1,0))/10^6</f>
        <v>180.272009066446</v>
      </c>
      <c r="G38" s="1">
        <f>INDEX('Worldwide Population'!37:37,1,MATCH(G$2,'Worldwide Population'!$1:$1,0))/10^6</f>
        <v>207.17900462447398</v>
      </c>
      <c r="H38" s="1">
        <f>INDEX('Worldwide Population'!37:37,1,MATCH(H$2,'Worldwide Population'!$1:$1,0))/10^6</f>
        <v>142.536068471649</v>
      </c>
      <c r="I38" s="1">
        <f>INDEX('Worldwide Population'!37:37,1,MATCH(I$2,'Worldwide Population'!$1:$1,0))/10^6</f>
        <v>181.962152273974</v>
      </c>
      <c r="J38" s="1">
        <f>INDEX('Worldwide Population'!37:37,1,MATCH(J$2,'Worldwide Population'!$1:$1,0))/10^6</f>
        <v>250.761155243243</v>
      </c>
      <c r="L38" s="1">
        <f t="shared" si="3"/>
        <v>65.742097519870384</v>
      </c>
      <c r="M38" s="1">
        <f t="shared" si="4"/>
        <v>223.35140014841977</v>
      </c>
      <c r="N38" s="1">
        <f t="shared" si="5"/>
        <v>44.535491169290076</v>
      </c>
      <c r="O38" s="1">
        <f>INDEX('USA Population'!37:37,1,MATCH(O$2,'USA Population'!$1:$1,0))/10^6</f>
        <v>60.053756288044497</v>
      </c>
      <c r="P38" s="1">
        <f>INDEX('USA Population'!37:37,1,MATCH(P$2,'USA Population'!$1:$1,0))/10^6</f>
        <v>60.9222789140373</v>
      </c>
      <c r="Q38" s="1">
        <f>INDEX('USA Population'!37:37,1,MATCH(Q$2,'USA Population'!$1:$1,0))/10^6</f>
        <v>47.021781984064106</v>
      </c>
      <c r="R38" s="1">
        <f>INDEX('USA Population'!37:37,1,MATCH(R$2,'USA Population'!$1:$1,0))/10^6</f>
        <v>54.131044289394495</v>
      </c>
      <c r="S38" s="1">
        <f>INDEX('USA Population'!37:37,1,MATCH(S$2,'USA Population'!$1:$1,0))/10^6</f>
        <v>80.056731351351402</v>
      </c>
    </row>
    <row r="39" spans="1:19" x14ac:dyDescent="0.3">
      <c r="A39" s="54">
        <v>42522</v>
      </c>
      <c r="B39" s="55">
        <f t="shared" si="2"/>
        <v>2016</v>
      </c>
      <c r="C39" s="1">
        <v>238.35848328184039</v>
      </c>
      <c r="D39" s="1">
        <f>D38*(1+'Summary_Population World_USA'!$V$7)</f>
        <v>979.29036403629334</v>
      </c>
      <c r="E39" s="1">
        <f>E38*(1+'Summary_Population World_USA'!$V$8)</f>
        <v>238.35848328184039</v>
      </c>
      <c r="F39" s="1">
        <f>INDEX('Worldwide Population'!38:38,1,MATCH(F$2,'Worldwide Population'!$1:$1,0))/10^6</f>
        <v>181.09097787797901</v>
      </c>
      <c r="G39" s="1">
        <f>INDEX('Worldwide Population'!38:38,1,MATCH(G$2,'Worldwide Population'!$1:$1,0))/10^6</f>
        <v>208.145902273291</v>
      </c>
      <c r="H39" s="1">
        <f>INDEX('Worldwide Population'!38:38,1,MATCH(H$2,'Worldwide Population'!$1:$1,0))/10^6</f>
        <v>142.64935348534101</v>
      </c>
      <c r="I39" s="1">
        <f>INDEX('Worldwide Population'!38:38,1,MATCH(I$2,'Worldwide Population'!$1:$1,0))/10^6</f>
        <v>182.51995111073802</v>
      </c>
      <c r="J39" s="1">
        <f>INDEX('Worldwide Population'!38:38,1,MATCH(J$2,'Worldwide Population'!$1:$1,0))/10^6</f>
        <v>253.93568999999999</v>
      </c>
      <c r="L39" s="1">
        <f t="shared" si="3"/>
        <v>66.740375318915312</v>
      </c>
      <c r="M39" s="1">
        <f t="shared" si="4"/>
        <v>233.5417968176333</v>
      </c>
      <c r="N39" s="1">
        <f t="shared" si="5"/>
        <v>44.527662219388247</v>
      </c>
      <c r="O39" s="1">
        <f>INDEX('USA Population'!38:38,1,MATCH(O$2,'USA Population'!$1:$1,0))/10^6</f>
        <v>60.331114041631999</v>
      </c>
      <c r="P39" s="1">
        <f>INDEX('USA Population'!38:38,1,MATCH(P$2,'USA Population'!$1:$1,0))/10^6</f>
        <v>61.109634561655298</v>
      </c>
      <c r="Q39" s="1">
        <f>INDEX('USA Population'!38:38,1,MATCH(Q$2,'USA Population'!$1:$1,0))/10^6</f>
        <v>47.062633814664295</v>
      </c>
      <c r="R39" s="1">
        <f>INDEX('USA Population'!38:38,1,MATCH(R$2,'USA Population'!$1:$1,0))/10^6</f>
        <v>54.199048120537903</v>
      </c>
      <c r="S39" s="1">
        <f>INDEX('USA Population'!38:38,1,MATCH(S$2,'USA Population'!$1:$1,0))/10^6</f>
        <v>81.035578000000001</v>
      </c>
    </row>
    <row r="40" spans="1:19" x14ac:dyDescent="0.3">
      <c r="A40" s="54">
        <v>42552</v>
      </c>
      <c r="B40" s="55">
        <f t="shared" si="2"/>
        <v>2016</v>
      </c>
      <c r="C40" s="1">
        <v>241.97789901469508</v>
      </c>
      <c r="D40" s="1">
        <f>D39*(1+'Summary_Population World_USA'!$V$7)</f>
        <v>1032.8625692130815</v>
      </c>
      <c r="E40" s="1">
        <f>E39*(1+'Summary_Population World_USA'!$V$8)</f>
        <v>241.97789901469508</v>
      </c>
      <c r="F40" s="1">
        <f>INDEX('Worldwide Population'!39:39,1,MATCH(F$2,'Worldwide Population'!$1:$1,0))/10^6</f>
        <v>181.89356718408501</v>
      </c>
      <c r="G40" s="1">
        <f>INDEX('Worldwide Population'!39:39,1,MATCH(G$2,'Worldwide Population'!$1:$1,0))/10^6</f>
        <v>209.07547039001301</v>
      </c>
      <c r="H40" s="1">
        <f>INDEX('Worldwide Population'!39:39,1,MATCH(H$2,'Worldwide Population'!$1:$1,0))/10^6</f>
        <v>142.76037276877099</v>
      </c>
      <c r="I40" s="1">
        <f>INDEX('Worldwide Population'!39:39,1,MATCH(I$2,'Worldwide Population'!$1:$1,0))/10^6</f>
        <v>183.054563965846</v>
      </c>
      <c r="J40" s="1">
        <f>INDEX('Worldwide Population'!39:39,1,MATCH(J$2,'Worldwide Population'!$1:$1,0))/10^6</f>
        <v>257.11022475675696</v>
      </c>
      <c r="L40" s="1">
        <f t="shared" si="3"/>
        <v>67.753811724114627</v>
      </c>
      <c r="M40" s="1">
        <f t="shared" si="4"/>
        <v>244.19712983471354</v>
      </c>
      <c r="N40" s="1">
        <f t="shared" si="5"/>
        <v>44.519834645747352</v>
      </c>
      <c r="O40" s="1">
        <f>INDEX('USA Population'!39:39,1,MATCH(O$2,'USA Population'!$1:$1,0))/10^6</f>
        <v>60.602572597114197</v>
      </c>
      <c r="P40" s="1">
        <f>INDEX('USA Population'!39:39,1,MATCH(P$2,'USA Population'!$1:$1,0))/10^6</f>
        <v>61.288650979074205</v>
      </c>
      <c r="Q40" s="1">
        <f>INDEX('USA Population'!39:39,1,MATCH(Q$2,'USA Population'!$1:$1,0))/10^6</f>
        <v>47.102668604186</v>
      </c>
      <c r="R40" s="1">
        <f>INDEX('USA Population'!39:39,1,MATCH(R$2,'USA Population'!$1:$1,0))/10^6</f>
        <v>54.262841015090103</v>
      </c>
      <c r="S40" s="1">
        <f>INDEX('USA Population'!39:39,1,MATCH(S$2,'USA Population'!$1:$1,0))/10^6</f>
        <v>82.0144246486486</v>
      </c>
    </row>
    <row r="41" spans="1:19" x14ac:dyDescent="0.3">
      <c r="A41" s="54">
        <v>42583</v>
      </c>
      <c r="B41" s="55">
        <f t="shared" si="2"/>
        <v>2016</v>
      </c>
      <c r="C41" s="1">
        <v>245.65227469723087</v>
      </c>
      <c r="D41" s="1">
        <f>D40*(1+'Summary_Population World_USA'!$V$7)</f>
        <v>1089.3654487566378</v>
      </c>
      <c r="E41" s="1">
        <f>E40*(1+'Summary_Population World_USA'!$V$8)</f>
        <v>245.65227469723087</v>
      </c>
      <c r="F41" s="1">
        <f>INDEX('Worldwide Population'!40:40,1,MATCH(F$2,'Worldwide Population'!$1:$1,0))/10^6</f>
        <v>182.68010457745501</v>
      </c>
      <c r="G41" s="1">
        <f>INDEX('Worldwide Population'!40:40,1,MATCH(G$2,'Worldwide Population'!$1:$1,0))/10^6</f>
        <v>209.968975208383</v>
      </c>
      <c r="H41" s="1">
        <f>INDEX('Worldwide Population'!40:40,1,MATCH(H$2,'Worldwide Population'!$1:$1,0))/10^6</f>
        <v>142.86917163714298</v>
      </c>
      <c r="I41" s="1">
        <f>INDEX('Worldwide Population'!40:40,1,MATCH(I$2,'Worldwide Population'!$1:$1,0))/10^6</f>
        <v>183.56690866135</v>
      </c>
      <c r="J41" s="1">
        <f>INDEX('Worldwide Population'!40:40,1,MATCH(J$2,'Worldwide Population'!$1:$1,0))/10^6</f>
        <v>260.28475951351402</v>
      </c>
      <c r="L41" s="1">
        <f t="shared" si="3"/>
        <v>68.782636915224643</v>
      </c>
      <c r="M41" s="1">
        <f t="shared" si="4"/>
        <v>255.33861189771181</v>
      </c>
      <c r="N41" s="1">
        <f t="shared" si="5"/>
        <v>44.512008448125449</v>
      </c>
      <c r="O41" s="1">
        <f>INDEX('USA Population'!40:40,1,MATCH(O$2,'USA Population'!$1:$1,0))/10^6</f>
        <v>60.868257426152901</v>
      </c>
      <c r="P41" s="1">
        <f>INDEX('USA Population'!40:40,1,MATCH(P$2,'USA Population'!$1:$1,0))/10^6</f>
        <v>61.459675058466601</v>
      </c>
      <c r="Q41" s="1">
        <f>INDEX('USA Population'!40:40,1,MATCH(Q$2,'USA Population'!$1:$1,0))/10^6</f>
        <v>47.141902693540203</v>
      </c>
      <c r="R41" s="1">
        <f>INDEX('USA Population'!40:40,1,MATCH(R$2,'USA Population'!$1:$1,0))/10^6</f>
        <v>54.322679864827094</v>
      </c>
      <c r="S41" s="1">
        <f>INDEX('USA Population'!40:40,1,MATCH(S$2,'USA Population'!$1:$1,0))/10^6</f>
        <v>82.993271297297298</v>
      </c>
    </row>
    <row r="42" spans="1:19" x14ac:dyDescent="0.3">
      <c r="A42" s="54">
        <v>42614</v>
      </c>
      <c r="B42" s="55">
        <f t="shared" si="2"/>
        <v>2016</v>
      </c>
      <c r="C42" s="1">
        <v>249.38244488294808</v>
      </c>
      <c r="D42" s="1">
        <f>D41*(1+'Summary_Population World_USA'!$V$7)</f>
        <v>1148.9593255847078</v>
      </c>
      <c r="E42" s="1">
        <f>E41*(1+'Summary_Population World_USA'!$V$8)</f>
        <v>249.38244488294808</v>
      </c>
      <c r="F42" s="1">
        <f>INDEX('Worldwide Population'!41:41,1,MATCH(F$2,'Worldwide Population'!$1:$1,0))/10^6</f>
        <v>183.45091109887599</v>
      </c>
      <c r="G42" s="1">
        <f>INDEX('Worldwide Population'!41:41,1,MATCH(G$2,'Worldwide Population'!$1:$1,0))/10^6</f>
        <v>210.82765491053598</v>
      </c>
      <c r="H42" s="1">
        <f>INDEX('Worldwide Population'!41:41,1,MATCH(H$2,'Worldwide Population'!$1:$1,0))/10^6</f>
        <v>142.97579449934801</v>
      </c>
      <c r="I42" s="1">
        <f>INDEX('Worldwide Population'!41:41,1,MATCH(I$2,'Worldwide Population'!$1:$1,0))/10^6</f>
        <v>184.057870693475</v>
      </c>
      <c r="J42" s="1">
        <f>INDEX('Worldwide Population'!41:41,1,MATCH(J$2,'Worldwide Population'!$1:$1,0))/10^6</f>
        <v>263.45929427026999</v>
      </c>
      <c r="L42" s="1">
        <f t="shared" si="3"/>
        <v>69.827084567225469</v>
      </c>
      <c r="M42" s="1">
        <f t="shared" si="4"/>
        <v>266.98842353298693</v>
      </c>
      <c r="N42" s="1">
        <f t="shared" si="5"/>
        <v>44.504183626280657</v>
      </c>
      <c r="O42" s="1">
        <f>INDEX('USA Population'!41:41,1,MATCH(O$2,'USA Population'!$1:$1,0))/10^6</f>
        <v>61.128291331718899</v>
      </c>
      <c r="P42" s="1">
        <f>INDEX('USA Population'!41:41,1,MATCH(P$2,'USA Population'!$1:$1,0))/10^6</f>
        <v>61.623041522739598</v>
      </c>
      <c r="Q42" s="1">
        <f>INDEX('USA Population'!41:41,1,MATCH(Q$2,'USA Population'!$1:$1,0))/10^6</f>
        <v>47.180352096817906</v>
      </c>
      <c r="R42" s="1">
        <f>INDEX('USA Population'!41:41,1,MATCH(R$2,'USA Population'!$1:$1,0))/10^6</f>
        <v>54.378806361523203</v>
      </c>
      <c r="S42" s="1">
        <f>INDEX('USA Population'!41:41,1,MATCH(S$2,'USA Population'!$1:$1,0))/10^6</f>
        <v>83.972117945945897</v>
      </c>
    </row>
    <row r="43" spans="1:19" x14ac:dyDescent="0.3">
      <c r="A43" s="54">
        <v>42644</v>
      </c>
      <c r="B43" s="55">
        <f t="shared" si="2"/>
        <v>2016</v>
      </c>
      <c r="C43" s="1">
        <v>253.16925679783944</v>
      </c>
      <c r="D43" s="1">
        <f>D42*(1+'Summary_Population World_USA'!$V$7)</f>
        <v>1211.8132931008499</v>
      </c>
      <c r="E43" s="1">
        <f>E42*(1+'Summary_Population World_USA'!$V$8)</f>
        <v>253.16925679783944</v>
      </c>
      <c r="F43" s="1">
        <f>INDEX('Worldwide Population'!42:42,1,MATCH(F$2,'Worldwide Population'!$1:$1,0))/10^6</f>
        <v>184.20630136827</v>
      </c>
      <c r="G43" s="1">
        <f>INDEX('Worldwide Population'!42:42,1,MATCH(G$2,'Worldwide Population'!$1:$1,0))/10^6</f>
        <v>211.65271885982099</v>
      </c>
      <c r="H43" s="1">
        <f>INDEX('Worldwide Population'!42:42,1,MATCH(H$2,'Worldwide Population'!$1:$1,0))/10^6</f>
        <v>143.080284876083</v>
      </c>
      <c r="I43" s="1">
        <f>INDEX('Worldwide Population'!42:42,1,MATCH(I$2,'Worldwide Population'!$1:$1,0))/10^6</f>
        <v>184.52830400773601</v>
      </c>
      <c r="J43" s="1">
        <f>INDEX('Worldwide Population'!42:42,1,MATCH(J$2,'Worldwide Population'!$1:$1,0))/10^6</f>
        <v>266.63382902702699</v>
      </c>
      <c r="L43" s="1">
        <f t="shared" si="3"/>
        <v>70.887391903395056</v>
      </c>
      <c r="M43" s="1">
        <f t="shared" si="4"/>
        <v>279.16975725232413</v>
      </c>
      <c r="N43" s="1">
        <f t="shared" si="5"/>
        <v>44.49636017997112</v>
      </c>
      <c r="O43" s="1">
        <f>INDEX('USA Population'!42:42,1,MATCH(O$2,'USA Population'!$1:$1,0))/10^6</f>
        <v>61.382794504852896</v>
      </c>
      <c r="P43" s="1">
        <f>INDEX('USA Population'!42:42,1,MATCH(P$2,'USA Population'!$1:$1,0))/10^6</f>
        <v>61.779073132749602</v>
      </c>
      <c r="Q43" s="1">
        <f>INDEX('USA Population'!42:42,1,MATCH(Q$2,'USA Population'!$1:$1,0))/10^6</f>
        <v>47.218032507826202</v>
      </c>
      <c r="R43" s="1">
        <f>INDEX('USA Population'!42:42,1,MATCH(R$2,'USA Population'!$1:$1,0))/10^6</f>
        <v>54.431447838022201</v>
      </c>
      <c r="S43" s="1">
        <f>INDEX('USA Population'!42:42,1,MATCH(S$2,'USA Population'!$1:$1,0))/10^6</f>
        <v>84.950964594594595</v>
      </c>
    </row>
    <row r="44" spans="1:19" x14ac:dyDescent="0.3">
      <c r="A44" s="54">
        <v>42675</v>
      </c>
      <c r="B44" s="55">
        <f t="shared" si="2"/>
        <v>2016</v>
      </c>
      <c r="C44" s="1">
        <v>257.01357053281879</v>
      </c>
      <c r="D44" s="1">
        <f>D43*(1+'Summary_Population World_USA'!$V$7)</f>
        <v>1278.1056949849883</v>
      </c>
      <c r="E44" s="1">
        <f>E43*(1+'Summary_Population World_USA'!$V$8)</f>
        <v>257.01357053281879</v>
      </c>
      <c r="F44" s="1">
        <f>INDEX('Worldwide Population'!43:43,1,MATCH(F$2,'Worldwide Population'!$1:$1,0))/10^6</f>
        <v>184.946583713108</v>
      </c>
      <c r="G44" s="1">
        <f>INDEX('Worldwide Population'!43:43,1,MATCH(G$2,'Worldwide Population'!$1:$1,0))/10^6</f>
        <v>212.44534700392401</v>
      </c>
      <c r="H44" s="1">
        <f>INDEX('Worldwide Population'!43:43,1,MATCH(H$2,'Worldwide Population'!$1:$1,0))/10^6</f>
        <v>143.18268541762302</v>
      </c>
      <c r="I44" s="1">
        <f>INDEX('Worldwide Population'!43:43,1,MATCH(I$2,'Worldwide Population'!$1:$1,0))/10^6</f>
        <v>184.97903179208402</v>
      </c>
      <c r="J44" s="1">
        <f>INDEX('Worldwide Population'!43:43,1,MATCH(J$2,'Worldwide Population'!$1:$1,0))/10^6</f>
        <v>269.80836378378399</v>
      </c>
      <c r="L44" s="1">
        <f t="shared" si="3"/>
        <v>71.963799749189263</v>
      </c>
      <c r="M44" s="1">
        <f t="shared" si="4"/>
        <v>291.90686372472055</v>
      </c>
      <c r="N44" s="1">
        <f t="shared" si="5"/>
        <v>44.488538108955026</v>
      </c>
      <c r="O44" s="1">
        <f>INDEX('USA Population'!43:43,1,MATCH(O$2,'USA Population'!$1:$1,0))/10^6</f>
        <v>61.631884580219406</v>
      </c>
      <c r="P44" s="1">
        <f>INDEX('USA Population'!43:43,1,MATCH(P$2,'USA Population'!$1:$1,0))/10^6</f>
        <v>61.928080915564301</v>
      </c>
      <c r="Q44" s="1">
        <f>INDEX('USA Population'!43:43,1,MATCH(Q$2,'USA Population'!$1:$1,0))/10^6</f>
        <v>47.254959306494698</v>
      </c>
      <c r="R44" s="1">
        <f>INDEX('USA Population'!43:43,1,MATCH(R$2,'USA Population'!$1:$1,0))/10^6</f>
        <v>54.4808180701433</v>
      </c>
      <c r="S44" s="1">
        <f>INDEX('USA Population'!43:43,1,MATCH(S$2,'USA Population'!$1:$1,0))/10^6</f>
        <v>85.929811243243208</v>
      </c>
    </row>
    <row r="45" spans="1:19" x14ac:dyDescent="0.3">
      <c r="A45" s="54">
        <v>42705</v>
      </c>
      <c r="B45" s="55">
        <f t="shared" si="2"/>
        <v>2016</v>
      </c>
      <c r="C45" s="1">
        <v>260.91625923907185</v>
      </c>
      <c r="D45" s="1">
        <f>D44*(1+'Summary_Population World_USA'!$V$7)</f>
        <v>1348.0246312309696</v>
      </c>
      <c r="E45" s="1">
        <f>E44*(1+'Summary_Population World_USA'!$V$8)</f>
        <v>260.91625923907185</v>
      </c>
      <c r="F45" s="1">
        <f>INDEX('Worldwide Population'!44:44,1,MATCH(F$2,'Worldwide Population'!$1:$1,0))/10^6</f>
        <v>185.67206029426501</v>
      </c>
      <c r="G45" s="1">
        <f>INDEX('Worldwide Population'!44:44,1,MATCH(G$2,'Worldwide Population'!$1:$1,0))/10^6</f>
        <v>213.20668943266699</v>
      </c>
      <c r="H45" s="1">
        <f>INDEX('Worldwide Population'!44:44,1,MATCH(H$2,'Worldwide Population'!$1:$1,0))/10^6</f>
        <v>143.283037921225</v>
      </c>
      <c r="I45" s="1">
        <f>INDEX('Worldwide Population'!44:44,1,MATCH(I$2,'Worldwide Population'!$1:$1,0))/10^6</f>
        <v>185.41084728313601</v>
      </c>
      <c r="J45" s="1">
        <f>INDEX('Worldwide Population'!44:44,1,MATCH(J$2,'Worldwide Population'!$1:$1,0))/10^6</f>
        <v>272.98289854054099</v>
      </c>
      <c r="L45" s="1">
        <f t="shared" si="3"/>
        <v>73.056552586940128</v>
      </c>
      <c r="M45" s="1">
        <f t="shared" si="4"/>
        <v>305.22510005475596</v>
      </c>
      <c r="N45" s="1">
        <f t="shared" si="5"/>
        <v>44.480717412990622</v>
      </c>
      <c r="O45" s="1">
        <f>INDEX('USA Population'!44:44,1,MATCH(O$2,'USA Population'!$1:$1,0))/10^6</f>
        <v>61.875676690478805</v>
      </c>
      <c r="P45" s="1">
        <f>INDEX('USA Population'!44:44,1,MATCH(P$2,'USA Population'!$1:$1,0))/10^6</f>
        <v>62.070364410348603</v>
      </c>
      <c r="Q45" s="1">
        <f>INDEX('USA Population'!44:44,1,MATCH(Q$2,'USA Population'!$1:$1,0))/10^6</f>
        <v>47.291147565152599</v>
      </c>
      <c r="R45" s="1">
        <f>INDEX('USA Population'!44:44,1,MATCH(R$2,'USA Population'!$1:$1,0))/10^6</f>
        <v>54.527118040255502</v>
      </c>
      <c r="S45" s="1">
        <f>INDEX('USA Population'!44:44,1,MATCH(S$2,'USA Population'!$1:$1,0))/10^6</f>
        <v>86.908657891891892</v>
      </c>
    </row>
    <row r="46" spans="1:19" x14ac:dyDescent="0.3">
      <c r="A46" s="54">
        <v>42736</v>
      </c>
      <c r="B46" s="55">
        <f t="shared" si="2"/>
        <v>2017</v>
      </c>
      <c r="C46" s="1">
        <v>264.87820932637311</v>
      </c>
      <c r="D46" s="1">
        <f>D45*(1+'Summary_Population World_USA'!$V$7)</f>
        <v>1421.7684918669693</v>
      </c>
      <c r="E46" s="1">
        <f>E45*(1+'Summary_Population World_USA'!$V$8)</f>
        <v>264.87820932637311</v>
      </c>
      <c r="F46" s="1">
        <f>INDEX('Worldwide Population'!45:45,1,MATCH(F$2,'Worldwide Population'!$1:$1,0))/10^6</f>
        <v>186.383027229351</v>
      </c>
      <c r="G46" s="1">
        <f>INDEX('Worldwide Population'!45:45,1,MATCH(G$2,'Worldwide Population'!$1:$1,0))/10^6</f>
        <v>213.93786607592099</v>
      </c>
      <c r="H46" s="1">
        <f>INDEX('Worldwide Population'!45:45,1,MATCH(H$2,'Worldwide Population'!$1:$1,0))/10^6</f>
        <v>143.38138334819001</v>
      </c>
      <c r="I46" s="1">
        <f>INDEX('Worldwide Population'!45:45,1,MATCH(I$2,'Worldwide Population'!$1:$1,0))/10^6</f>
        <v>185.82451458108099</v>
      </c>
      <c r="J46" s="1">
        <f>INDEX('Worldwide Population'!45:45,1,MATCH(J$2,'Worldwide Population'!$1:$1,0))/10^6</f>
        <v>276.15743329729702</v>
      </c>
      <c r="L46" s="1">
        <f t="shared" si="3"/>
        <v>69.75126178927826</v>
      </c>
      <c r="M46" s="1">
        <f t="shared" si="4"/>
        <v>319.15098026366206</v>
      </c>
      <c r="N46" s="1">
        <f t="shared" si="5"/>
        <v>44.472898091836178</v>
      </c>
      <c r="O46" s="1">
        <f>INDEX('USA Population'!45:45,1,MATCH(O$2,'USA Population'!$1:$1,0))/10^6</f>
        <v>62.114283519503701</v>
      </c>
      <c r="P46" s="1">
        <f>INDEX('USA Population'!45:45,1,MATCH(P$2,'USA Population'!$1:$1,0))/10^6</f>
        <v>62.206211928780306</v>
      </c>
      <c r="Q46" s="1">
        <f>INDEX('USA Population'!45:45,1,MATCH(Q$2,'USA Population'!$1:$1,0))/10^6</f>
        <v>47.326612054680695</v>
      </c>
      <c r="R46" s="1">
        <f>INDEX('USA Population'!45:45,1,MATCH(R$2,'USA Population'!$1:$1,0))/10^6</f>
        <v>54.5705366634961</v>
      </c>
      <c r="S46" s="1">
        <f>INDEX('USA Population'!45:45,1,MATCH(S$2,'USA Population'!$1:$1,0))/10^6</f>
        <v>87.887504540540505</v>
      </c>
    </row>
    <row r="47" spans="1:19" x14ac:dyDescent="0.3">
      <c r="A47" s="54">
        <v>42767</v>
      </c>
      <c r="B47" s="55">
        <f t="shared" si="2"/>
        <v>2017</v>
      </c>
      <c r="C47" s="1">
        <v>268.90032066441455</v>
      </c>
      <c r="D47" s="1">
        <f>D46*(1+'Summary_Population World_USA'!$V$7)</f>
        <v>1499.5465198731422</v>
      </c>
      <c r="E47" s="1">
        <f>E46*(1+'Summary_Population World_USA'!$V$8)</f>
        <v>268.90032066441455</v>
      </c>
      <c r="F47" s="1">
        <f>INDEX('Worldwide Population'!46:46,1,MATCH(F$2,'Worldwide Population'!$1:$1,0))/10^6</f>
        <v>187.079774713576</v>
      </c>
      <c r="G47" s="1">
        <f>INDEX('Worldwide Population'!46:46,1,MATCH(G$2,'Worldwide Population'!$1:$1,0))/10^6</f>
        <v>214.639966527995</v>
      </c>
      <c r="H47" s="1">
        <f>INDEX('Worldwide Population'!46:46,1,MATCH(H$2,'Worldwide Population'!$1:$1,0))/10^6</f>
        <v>143.47776184058299</v>
      </c>
      <c r="I47" s="1">
        <f>INDEX('Worldwide Population'!46:46,1,MATCH(I$2,'Worldwide Population'!$1:$1,0))/10^6</f>
        <v>186.22076946936102</v>
      </c>
      <c r="J47" s="1">
        <f>INDEX('Worldwide Population'!46:46,1,MATCH(J$2,'Worldwide Population'!$1:$1,0))/10^6</f>
        <v>279.33196805405402</v>
      </c>
      <c r="L47" s="1">
        <f t="shared" si="3"/>
        <v>70.810417774962502</v>
      </c>
      <c r="M47" s="1">
        <f t="shared" si="4"/>
        <v>333.71222807358794</v>
      </c>
      <c r="N47" s="1">
        <f t="shared" si="5"/>
        <v>44.465080145250013</v>
      </c>
      <c r="O47" s="1">
        <f>INDEX('USA Population'!46:46,1,MATCH(O$2,'USA Population'!$1:$1,0))/10^6</f>
        <v>62.347815354462199</v>
      </c>
      <c r="P47" s="1">
        <f>INDEX('USA Population'!46:46,1,MATCH(P$2,'USA Population'!$1:$1,0))/10^6</f>
        <v>62.335900827211702</v>
      </c>
      <c r="Q47" s="1">
        <f>INDEX('USA Population'!46:46,1,MATCH(Q$2,'USA Population'!$1:$1,0))/10^6</f>
        <v>47.361367250541001</v>
      </c>
      <c r="R47" s="1">
        <f>INDEX('USA Population'!46:46,1,MATCH(R$2,'USA Population'!$1:$1,0))/10^6</f>
        <v>54.611251477712806</v>
      </c>
      <c r="S47" s="1">
        <f>INDEX('USA Population'!46:46,1,MATCH(S$2,'USA Population'!$1:$1,0))/10^6</f>
        <v>88.866351189189189</v>
      </c>
    </row>
    <row r="48" spans="1:19" x14ac:dyDescent="0.3">
      <c r="A48" s="54">
        <v>42795</v>
      </c>
      <c r="B48" s="55">
        <f t="shared" si="2"/>
        <v>2017</v>
      </c>
      <c r="C48" s="1">
        <v>272.983506787191</v>
      </c>
      <c r="D48" s="1">
        <f>D47*(1+'Summary_Population World_USA'!$V$7)</f>
        <v>1581.5794048937546</v>
      </c>
      <c r="E48" s="1">
        <f>E47*(1+'Summary_Population World_USA'!$V$8)</f>
        <v>272.983506787191</v>
      </c>
      <c r="F48" s="1">
        <f>INDEX('Worldwide Population'!47:47,1,MATCH(F$2,'Worldwide Population'!$1:$1,0))/10^6</f>
        <v>187.76258713820002</v>
      </c>
      <c r="G48" s="1">
        <f>INDEX('Worldwide Population'!47:47,1,MATCH(G$2,'Worldwide Population'!$1:$1,0))/10^6</f>
        <v>215.31404998582801</v>
      </c>
      <c r="H48" s="1">
        <f>INDEX('Worldwide Population'!47:47,1,MATCH(H$2,'Worldwide Population'!$1:$1,0))/10^6</f>
        <v>143.572212737614</v>
      </c>
      <c r="I48" s="1">
        <f>INDEX('Worldwide Population'!47:47,1,MATCH(I$2,'Worldwide Population'!$1:$1,0))/10^6</f>
        <v>186.60032023563798</v>
      </c>
      <c r="J48" s="1">
        <f>INDEX('Worldwide Population'!47:47,1,MATCH(J$2,'Worldwide Population'!$1:$1,0))/10^6</f>
        <v>282.50650281081096</v>
      </c>
      <c r="L48" s="1">
        <f t="shared" si="3"/>
        <v>71.885656787293641</v>
      </c>
      <c r="M48" s="1">
        <f t="shared" si="4"/>
        <v>348.93783210014493</v>
      </c>
      <c r="N48" s="1">
        <f t="shared" si="5"/>
        <v>44.457263572990492</v>
      </c>
      <c r="O48" s="1">
        <f>INDEX('USA Population'!47:47,1,MATCH(O$2,'USA Population'!$1:$1,0))/10^6</f>
        <v>62.576380136794704</v>
      </c>
      <c r="P48" s="1">
        <f>INDEX('USA Population'!47:47,1,MATCH(P$2,'USA Population'!$1:$1,0))/10^6</f>
        <v>62.459697788076497</v>
      </c>
      <c r="Q48" s="1">
        <f>INDEX('USA Population'!47:47,1,MATCH(Q$2,'USA Population'!$1:$1,0))/10^6</f>
        <v>47.3954273386842</v>
      </c>
      <c r="R48" s="1">
        <f>INDEX('USA Population'!47:47,1,MATCH(R$2,'USA Population'!$1:$1,0))/10^6</f>
        <v>54.649429298292802</v>
      </c>
      <c r="S48" s="1">
        <f>INDEX('USA Population'!47:47,1,MATCH(S$2,'USA Population'!$1:$1,0))/10^6</f>
        <v>89.845197837837802</v>
      </c>
    </row>
    <row r="49" spans="1:19" x14ac:dyDescent="0.3">
      <c r="A49" s="54">
        <v>42826</v>
      </c>
      <c r="B49" s="55">
        <f t="shared" si="2"/>
        <v>2017</v>
      </c>
      <c r="C49" s="1">
        <v>277.12869510048932</v>
      </c>
      <c r="D49" s="1">
        <f>D48*(1+'Summary_Population World_USA'!$V$7)</f>
        <v>1668.0999094284145</v>
      </c>
      <c r="E49" s="1">
        <f>E48*(1+'Summary_Population World_USA'!$V$8)</f>
        <v>277.12869510048932</v>
      </c>
      <c r="F49" s="1">
        <f>INDEX('Worldwide Population'!48:48,1,MATCH(F$2,'Worldwide Population'!$1:$1,0))/10^6</f>
        <v>188.43174320661399</v>
      </c>
      <c r="G49" s="1">
        <f>INDEX('Worldwide Population'!48:48,1,MATCH(G$2,'Worldwide Population'!$1:$1,0))/10^6</f>
        <v>215.961145289179</v>
      </c>
      <c r="H49" s="1">
        <f>INDEX('Worldwide Population'!48:48,1,MATCH(H$2,'Worldwide Population'!$1:$1,0))/10^6</f>
        <v>143.66477459170201</v>
      </c>
      <c r="I49" s="1">
        <f>INDEX('Worldwide Population'!48:48,1,MATCH(I$2,'Worldwide Population'!$1:$1,0))/10^6</f>
        <v>186.96384849102199</v>
      </c>
      <c r="J49" s="1">
        <f>INDEX('Worldwide Population'!48:48,1,MATCH(J$2,'Worldwide Population'!$1:$1,0))/10^6</f>
        <v>285.68103756756801</v>
      </c>
      <c r="L49" s="1">
        <f t="shared" si="3"/>
        <v>72.977223043128859</v>
      </c>
      <c r="M49" s="1">
        <f t="shared" si="4"/>
        <v>364.85810356310878</v>
      </c>
      <c r="N49" s="1">
        <f t="shared" si="5"/>
        <v>44.449448374816022</v>
      </c>
      <c r="O49" s="1">
        <f>INDEX('USA Population'!48:48,1,MATCH(O$2,'USA Population'!$1:$1,0))/10^6</f>
        <v>62.800083512105196</v>
      </c>
      <c r="P49" s="1">
        <f>INDEX('USA Population'!48:48,1,MATCH(P$2,'USA Population'!$1:$1,0))/10^6</f>
        <v>62.5778591083021</v>
      </c>
      <c r="Q49" s="1">
        <f>INDEX('USA Population'!48:48,1,MATCH(Q$2,'USA Population'!$1:$1,0))/10^6</f>
        <v>47.4288062213407</v>
      </c>
      <c r="R49" s="1">
        <f>INDEX('USA Population'!48:48,1,MATCH(R$2,'USA Population'!$1:$1,0))/10^6</f>
        <v>54.685226839098604</v>
      </c>
      <c r="S49" s="1">
        <f>INDEX('USA Population'!48:48,1,MATCH(S$2,'USA Population'!$1:$1,0))/10^6</f>
        <v>90.8240444864865</v>
      </c>
    </row>
    <row r="50" spans="1:19" x14ac:dyDescent="0.3">
      <c r="A50" s="54">
        <v>42856</v>
      </c>
      <c r="B50" s="55">
        <f t="shared" si="2"/>
        <v>2017</v>
      </c>
      <c r="C50" s="1">
        <v>281.33682709252832</v>
      </c>
      <c r="D50" s="1">
        <f>D49*(1+'Summary_Population World_USA'!$V$7)</f>
        <v>1759.3535292791753</v>
      </c>
      <c r="E50" s="1">
        <f>E49*(1+'Summary_Population World_USA'!$V$8)</f>
        <v>281.33682709252832</v>
      </c>
      <c r="F50" s="1">
        <f>INDEX('Worldwide Population'!49:49,1,MATCH(F$2,'Worldwide Population'!$1:$1,0))/10^6</f>
        <v>189.08751604809601</v>
      </c>
      <c r="G50" s="1">
        <f>INDEX('Worldwide Population'!49:49,1,MATCH(G$2,'Worldwide Population'!$1:$1,0))/10^6</f>
        <v>216.582251051893</v>
      </c>
      <c r="H50" s="1">
        <f>INDEX('Worldwide Population'!49:49,1,MATCH(H$2,'Worldwide Population'!$1:$1,0))/10^6</f>
        <v>143.75548518420601</v>
      </c>
      <c r="I50" s="1">
        <f>INDEX('Worldwide Population'!49:49,1,MATCH(I$2,'Worldwide Population'!$1:$1,0))/10^6</f>
        <v>187.31200998483499</v>
      </c>
      <c r="J50" s="1">
        <f>INDEX('Worldwide Population'!49:49,1,MATCH(J$2,'Worldwide Population'!$1:$1,0))/10^6</f>
        <v>288.85557232432399</v>
      </c>
      <c r="L50" s="1">
        <f t="shared" si="3"/>
        <v>74.085364467699137</v>
      </c>
      <c r="M50" s="1">
        <f t="shared" si="4"/>
        <v>381.50473663016982</v>
      </c>
      <c r="N50" s="1">
        <f t="shared" si="5"/>
        <v>44.441634550485048</v>
      </c>
      <c r="O50" s="1">
        <f>INDEX('USA Population'!49:49,1,MATCH(O$2,'USA Population'!$1:$1,0))/10^6</f>
        <v>63.019028878992501</v>
      </c>
      <c r="P50" s="1">
        <f>INDEX('USA Population'!49:49,1,MATCH(P$2,'USA Population'!$1:$1,0))/10^6</f>
        <v>62.690630992729098</v>
      </c>
      <c r="Q50" s="1">
        <f>INDEX('USA Population'!49:49,1,MATCH(Q$2,'USA Population'!$1:$1,0))/10^6</f>
        <v>47.461517522694599</v>
      </c>
      <c r="R50" s="1">
        <f>INDEX('USA Population'!49:49,1,MATCH(R$2,'USA Population'!$1:$1,0))/10^6</f>
        <v>54.718791300773894</v>
      </c>
      <c r="S50" s="1">
        <f>INDEX('USA Population'!49:49,1,MATCH(S$2,'USA Population'!$1:$1,0))/10^6</f>
        <v>91.802891135135098</v>
      </c>
    </row>
    <row r="51" spans="1:19" x14ac:dyDescent="0.3">
      <c r="A51" s="54">
        <v>42887</v>
      </c>
      <c r="B51" s="55">
        <f t="shared" si="2"/>
        <v>2017</v>
      </c>
      <c r="C51" s="1">
        <v>285.60885854779684</v>
      </c>
      <c r="D51" s="1">
        <f>D50*(1+'Summary_Population World_USA'!$V$7)</f>
        <v>1855.5991901274806</v>
      </c>
      <c r="E51" s="1">
        <f>E50*(1+'Summary_Population World_USA'!$V$8)</f>
        <v>285.60885854779684</v>
      </c>
      <c r="F51" s="1">
        <f>INDEX('Worldwide Population'!50:50,1,MATCH(F$2,'Worldwide Population'!$1:$1,0))/10^6</f>
        <v>189.73017332929598</v>
      </c>
      <c r="G51" s="1">
        <f>INDEX('Worldwide Population'!50:50,1,MATCH(G$2,'Worldwide Population'!$1:$1,0))/10^6</f>
        <v>217.17833587411201</v>
      </c>
      <c r="H51" s="1">
        <f>INDEX('Worldwide Population'!50:50,1,MATCH(H$2,'Worldwide Population'!$1:$1,0))/10^6</f>
        <v>143.844381540846</v>
      </c>
      <c r="I51" s="1">
        <f>INDEX('Worldwide Population'!50:50,1,MATCH(I$2,'Worldwide Population'!$1:$1,0))/10^6</f>
        <v>187.64543541259101</v>
      </c>
      <c r="J51" s="1">
        <f>INDEX('Worldwide Population'!50:50,1,MATCH(J$2,'Worldwide Population'!$1:$1,0))/10^6</f>
        <v>292.03010708108098</v>
      </c>
      <c r="L51" s="1">
        <f t="shared" si="3"/>
        <v>75.210332750919846</v>
      </c>
      <c r="M51" s="1">
        <f t="shared" si="4"/>
        <v>398.91087151386364</v>
      </c>
      <c r="N51" s="1">
        <f t="shared" si="5"/>
        <v>44.433822099756064</v>
      </c>
      <c r="O51" s="1">
        <f>INDEX('USA Population'!50:50,1,MATCH(O$2,'USA Population'!$1:$1,0))/10^6</f>
        <v>63.233317436842398</v>
      </c>
      <c r="P51" s="1">
        <f>INDEX('USA Population'!50:50,1,MATCH(P$2,'USA Population'!$1:$1,0))/10^6</f>
        <v>62.7982498507617</v>
      </c>
      <c r="Q51" s="1">
        <f>INDEX('USA Population'!50:50,1,MATCH(Q$2,'USA Population'!$1:$1,0))/10^6</f>
        <v>47.493574594445199</v>
      </c>
      <c r="R51" s="1">
        <f>INDEX('USA Population'!50:50,1,MATCH(R$2,'USA Population'!$1:$1,0))/10^6</f>
        <v>54.750260927700104</v>
      </c>
      <c r="S51" s="1">
        <f>INDEX('USA Population'!50:50,1,MATCH(S$2,'USA Population'!$1:$1,0))/10^6</f>
        <v>92.781737783783797</v>
      </c>
    </row>
    <row r="52" spans="1:19" x14ac:dyDescent="0.3">
      <c r="A52" s="54">
        <v>42917</v>
      </c>
      <c r="B52" s="55">
        <f t="shared" si="2"/>
        <v>2017</v>
      </c>
      <c r="C52" s="1">
        <v>289.94575976413932</v>
      </c>
      <c r="D52" s="1">
        <f>D51*(1+'Summary_Population World_USA'!$V$7)</f>
        <v>1957.1099822174428</v>
      </c>
      <c r="E52" s="1">
        <f>E51*(1+'Summary_Population World_USA'!$V$8)</f>
        <v>289.94575976413932</v>
      </c>
      <c r="F52" s="1">
        <f>INDEX('Worldwide Population'!51:51,1,MATCH(F$2,'Worldwide Population'!$1:$1,0))/10^6</f>
        <v>190.35997736348901</v>
      </c>
      <c r="G52" s="1">
        <f>INDEX('Worldwide Population'!51:51,1,MATCH(G$2,'Worldwide Population'!$1:$1,0))/10^6</f>
        <v>217.75033862609601</v>
      </c>
      <c r="H52" s="1">
        <f>INDEX('Worldwide Population'!51:51,1,MATCH(H$2,'Worldwide Population'!$1:$1,0))/10^6</f>
        <v>143.93149994682199</v>
      </c>
      <c r="I52" s="1">
        <f>INDEX('Worldwide Population'!51:51,1,MATCH(I$2,'Worldwide Population'!$1:$1,0))/10^6</f>
        <v>187.96473121513199</v>
      </c>
      <c r="J52" s="1">
        <f>INDEX('Worldwide Population'!51:51,1,MATCH(J$2,'Worldwide Population'!$1:$1,0))/10^6</f>
        <v>295.20464183783798</v>
      </c>
      <c r="L52" s="1">
        <f t="shared" si="3"/>
        <v>76.352383404556704</v>
      </c>
      <c r="M52" s="1">
        <f t="shared" si="4"/>
        <v>417.11116044729619</v>
      </c>
      <c r="N52" s="1">
        <f t="shared" si="5"/>
        <v>44.426011022387605</v>
      </c>
      <c r="O52" s="1">
        <f>INDEX('USA Population'!51:51,1,MATCH(O$2,'USA Population'!$1:$1,0))/10^6</f>
        <v>63.443048232602997</v>
      </c>
      <c r="P52" s="1">
        <f>INDEX('USA Population'!51:51,1,MATCH(P$2,'USA Population'!$1:$1,0))/10^6</f>
        <v>62.900942594672394</v>
      </c>
      <c r="Q52" s="1">
        <f>INDEX('USA Population'!51:51,1,MATCH(Q$2,'USA Population'!$1:$1,0))/10^6</f>
        <v>47.524990521255802</v>
      </c>
      <c r="R52" s="1">
        <f>INDEX('USA Population'!51:51,1,MATCH(R$2,'USA Population'!$1:$1,0))/10^6</f>
        <v>54.779765534903305</v>
      </c>
      <c r="S52" s="1">
        <f>INDEX('USA Population'!51:51,1,MATCH(S$2,'USA Population'!$1:$1,0))/10^6</f>
        <v>93.760584432432395</v>
      </c>
    </row>
    <row r="53" spans="1:19" x14ac:dyDescent="0.3">
      <c r="A53" s="54">
        <v>42948</v>
      </c>
      <c r="B53" s="55">
        <f t="shared" si="2"/>
        <v>2017</v>
      </c>
      <c r="C53" s="1">
        <v>294.34851577313759</v>
      </c>
      <c r="D53" s="1">
        <f>D52*(1+'Summary_Population World_USA'!$V$7)</f>
        <v>2064.1739352300629</v>
      </c>
      <c r="E53" s="1">
        <f>E52*(1+'Summary_Population World_USA'!$V$8)</f>
        <v>294.34851577313759</v>
      </c>
      <c r="F53" s="1">
        <f>INDEX('Worldwide Population'!52:52,1,MATCH(F$2,'Worldwide Population'!$1:$1,0))/10^6</f>
        <v>190.97718521764202</v>
      </c>
      <c r="G53" s="1">
        <f>INDEX('Worldwide Population'!52:52,1,MATCH(G$2,'Worldwide Population'!$1:$1,0))/10^6</f>
        <v>218.29916879502801</v>
      </c>
      <c r="H53" s="1">
        <f>INDEX('Worldwide Population'!52:52,1,MATCH(H$2,'Worldwide Population'!$1:$1,0))/10^6</f>
        <v>144.01687596161699</v>
      </c>
      <c r="I53" s="1">
        <f>INDEX('Worldwide Population'!52:52,1,MATCH(I$2,'Worldwide Population'!$1:$1,0))/10^6</f>
        <v>188.27048036714802</v>
      </c>
      <c r="J53" s="1">
        <f>INDEX('Worldwide Population'!52:52,1,MATCH(J$2,'Worldwide Population'!$1:$1,0))/10^6</f>
        <v>298.37917659459504</v>
      </c>
      <c r="L53" s="1">
        <f t="shared" si="3"/>
        <v>77.511775820259572</v>
      </c>
      <c r="M53" s="1">
        <f t="shared" si="4"/>
        <v>436.14183667000799</v>
      </c>
      <c r="N53" s="1">
        <f t="shared" si="5"/>
        <v>44.418201318138237</v>
      </c>
      <c r="O53" s="1">
        <f>INDEX('USA Population'!52:52,1,MATCH(O$2,'USA Population'!$1:$1,0))/10^6</f>
        <v>63.648318206565797</v>
      </c>
      <c r="P53" s="1">
        <f>INDEX('USA Population'!52:52,1,MATCH(P$2,'USA Population'!$1:$1,0))/10^6</f>
        <v>62.998926938172495</v>
      </c>
      <c r="Q53" s="1">
        <f>INDEX('USA Population'!52:52,1,MATCH(Q$2,'USA Population'!$1:$1,0))/10^6</f>
        <v>47.555778126095504</v>
      </c>
      <c r="R53" s="1">
        <f>INDEX('USA Population'!52:52,1,MATCH(R$2,'USA Population'!$1:$1,0))/10^6</f>
        <v>54.807427006200705</v>
      </c>
      <c r="S53" s="1">
        <f>INDEX('USA Population'!52:52,1,MATCH(S$2,'USA Population'!$1:$1,0))/10^6</f>
        <v>94.739431081081108</v>
      </c>
    </row>
    <row r="54" spans="1:19" x14ac:dyDescent="0.3">
      <c r="A54" s="54">
        <v>42979</v>
      </c>
      <c r="B54" s="55">
        <f t="shared" si="2"/>
        <v>2017</v>
      </c>
      <c r="C54" s="1">
        <v>298.81812656383892</v>
      </c>
      <c r="D54" s="1">
        <f>D53*(1+'Summary_Population World_USA'!$V$7)</f>
        <v>2177.094835547045</v>
      </c>
      <c r="E54" s="1">
        <f>E53*(1+'Summary_Population World_USA'!$V$8)</f>
        <v>298.81812656383892</v>
      </c>
      <c r="F54" s="1">
        <f>INDEX('Worldwide Population'!53:53,1,MATCH(F$2,'Worldwide Population'!$1:$1,0))/10^6</f>
        <v>191.582048817344</v>
      </c>
      <c r="G54" s="1">
        <f>INDEX('Worldwide Population'!53:53,1,MATCH(G$2,'Worldwide Population'!$1:$1,0))/10^6</f>
        <v>218.82570688689199</v>
      </c>
      <c r="H54" s="1">
        <f>INDEX('Worldwide Population'!53:53,1,MATCH(H$2,'Worldwide Population'!$1:$1,0))/10^6</f>
        <v>144.10054443351501</v>
      </c>
      <c r="I54" s="1">
        <f>INDEX('Worldwide Population'!53:53,1,MATCH(I$2,'Worldwide Population'!$1:$1,0))/10^6</f>
        <v>188.563243153569</v>
      </c>
      <c r="J54" s="1">
        <f>INDEX('Worldwide Population'!53:53,1,MATCH(J$2,'Worldwide Population'!$1:$1,0))/10^6</f>
        <v>301.55371135135101</v>
      </c>
      <c r="L54" s="1">
        <f t="shared" si="3"/>
        <v>78.688773328477595</v>
      </c>
      <c r="M54" s="1">
        <f t="shared" si="4"/>
        <v>456.04078656131526</v>
      </c>
      <c r="N54" s="1">
        <f t="shared" si="5"/>
        <v>44.410392986766588</v>
      </c>
      <c r="O54" s="1">
        <f>INDEX('USA Population'!53:53,1,MATCH(O$2,'USA Population'!$1:$1,0))/10^6</f>
        <v>63.849222237172796</v>
      </c>
      <c r="P54" s="1">
        <f>INDEX('USA Population'!53:53,1,MATCH(P$2,'USA Population'!$1:$1,0))/10^6</f>
        <v>63.092411694025799</v>
      </c>
      <c r="Q54" s="1">
        <f>INDEX('USA Population'!53:53,1,MATCH(Q$2,'USA Population'!$1:$1,0))/10^6</f>
        <v>47.585949975472396</v>
      </c>
      <c r="R54" s="1">
        <f>INDEX('USA Population'!53:53,1,MATCH(R$2,'USA Population'!$1:$1,0))/10^6</f>
        <v>54.833359764873897</v>
      </c>
      <c r="S54" s="1">
        <f>INDEX('USA Population'!53:53,1,MATCH(S$2,'USA Population'!$1:$1,0))/10^6</f>
        <v>95.718277729729692</v>
      </c>
    </row>
    <row r="55" spans="1:19" x14ac:dyDescent="0.3">
      <c r="A55" s="54">
        <v>43009</v>
      </c>
      <c r="B55" s="55">
        <f t="shared" si="2"/>
        <v>2017</v>
      </c>
      <c r="C55" s="1">
        <v>303.35560730988175</v>
      </c>
      <c r="D55" s="1">
        <f>D54*(1+'Summary_Population World_USA'!$V$7)</f>
        <v>2296.1930882231327</v>
      </c>
      <c r="E55" s="1">
        <f>E54*(1+'Summary_Population World_USA'!$V$8)</f>
        <v>303.35560730988175</v>
      </c>
      <c r="F55" s="1">
        <f>INDEX('Worldwide Population'!54:54,1,MATCH(F$2,'Worldwide Population'!$1:$1,0))/10^6</f>
        <v>192.174815049632</v>
      </c>
      <c r="G55" s="1">
        <f>INDEX('Worldwide Population'!54:54,1,MATCH(G$2,'Worldwide Population'!$1:$1,0))/10^6</f>
        <v>219.330804876147</v>
      </c>
      <c r="H55" s="1">
        <f>INDEX('Worldwide Population'!54:54,1,MATCH(H$2,'Worldwide Population'!$1:$1,0))/10^6</f>
        <v>144.18253951382601</v>
      </c>
      <c r="I55" s="1">
        <f>INDEX('Worldwide Population'!54:54,1,MATCH(I$2,'Worldwide Population'!$1:$1,0))/10^6</f>
        <v>188.84355793252502</v>
      </c>
      <c r="J55" s="1">
        <f>INDEX('Worldwide Population'!54:54,1,MATCH(J$2,'Worldwide Population'!$1:$1,0))/10^6</f>
        <v>304.72824610810801</v>
      </c>
      <c r="L55" s="1">
        <f t="shared" si="3"/>
        <v>79.883643258268876</v>
      </c>
      <c r="M55" s="1">
        <f t="shared" si="4"/>
        <v>476.84762506473095</v>
      </c>
      <c r="N55" s="1">
        <f t="shared" si="5"/>
        <v>44.402586028031315</v>
      </c>
      <c r="O55" s="1">
        <f>INDEX('USA Population'!54:54,1,MATCH(O$2,'USA Population'!$1:$1,0))/10^6</f>
        <v>64.045853184869998</v>
      </c>
      <c r="P55" s="1">
        <f>INDEX('USA Population'!54:54,1,MATCH(P$2,'USA Population'!$1:$1,0))/10^6</f>
        <v>63.181597069639302</v>
      </c>
      <c r="Q55" s="1">
        <f>INDEX('USA Population'!54:54,1,MATCH(Q$2,'USA Population'!$1:$1,0))/10^6</f>
        <v>47.615518384562904</v>
      </c>
      <c r="R55" s="1">
        <f>INDEX('USA Population'!54:54,1,MATCH(R$2,'USA Population'!$1:$1,0))/10^6</f>
        <v>54.857671218130996</v>
      </c>
      <c r="S55" s="1">
        <f>INDEX('USA Population'!54:54,1,MATCH(S$2,'USA Population'!$1:$1,0))/10^6</f>
        <v>96.697124378378405</v>
      </c>
    </row>
    <row r="56" spans="1:19" x14ac:dyDescent="0.3">
      <c r="A56" s="54">
        <v>43040</v>
      </c>
      <c r="B56" s="55">
        <f t="shared" si="2"/>
        <v>2017</v>
      </c>
      <c r="C56" s="1">
        <v>307.96198860006979</v>
      </c>
      <c r="D56" s="1">
        <f>D55*(1+'Summary_Population World_USA'!$V$7)</f>
        <v>2421.8066261127528</v>
      </c>
      <c r="E56" s="1">
        <f>E55*(1+'Summary_Population World_USA'!$V$8)</f>
        <v>307.96198860006979</v>
      </c>
      <c r="F56" s="1">
        <f>INDEX('Worldwide Population'!55:55,1,MATCH(F$2,'Worldwide Population'!$1:$1,0))/10^6</f>
        <v>192.755725863761</v>
      </c>
      <c r="G56" s="1">
        <f>INDEX('Worldwide Population'!55:55,1,MATCH(G$2,'Worldwide Population'!$1:$1,0))/10^6</f>
        <v>219.815286696534</v>
      </c>
      <c r="H56" s="1">
        <f>INDEX('Worldwide Population'!55:55,1,MATCH(H$2,'Worldwide Population'!$1:$1,0))/10^6</f>
        <v>144.262894670826</v>
      </c>
      <c r="I56" s="1">
        <f>INDEX('Worldwide Population'!55:55,1,MATCH(I$2,'Worldwide Population'!$1:$1,0))/10^6</f>
        <v>189.11194188379699</v>
      </c>
      <c r="J56" s="1">
        <f>INDEX('Worldwide Population'!55:55,1,MATCH(J$2,'Worldwide Population'!$1:$1,0))/10^6</f>
        <v>307.90278086486501</v>
      </c>
      <c r="L56" s="1">
        <f t="shared" si="3"/>
        <v>81.096656998018389</v>
      </c>
      <c r="M56" s="1">
        <f t="shared" si="4"/>
        <v>498.60377455362146</v>
      </c>
      <c r="N56" s="1">
        <f t="shared" si="5"/>
        <v>44.394780441691118</v>
      </c>
      <c r="O56" s="1">
        <f>INDEX('USA Population'!55:55,1,MATCH(O$2,'USA Population'!$1:$1,0))/10^6</f>
        <v>64.238301935029597</v>
      </c>
      <c r="P56" s="1">
        <f>INDEX('USA Population'!55:55,1,MATCH(P$2,'USA Population'!$1:$1,0))/10^6</f>
        <v>63.2666749597009</v>
      </c>
      <c r="Q56" s="1">
        <f>INDEX('USA Population'!55:55,1,MATCH(Q$2,'USA Population'!$1:$1,0))/10^6</f>
        <v>47.644495422238904</v>
      </c>
      <c r="R56" s="1">
        <f>INDEX('USA Population'!55:55,1,MATCH(R$2,'USA Population'!$1:$1,0))/10^6</f>
        <v>54.880462176600702</v>
      </c>
      <c r="S56" s="1">
        <f>INDEX('USA Population'!55:55,1,MATCH(S$2,'USA Population'!$1:$1,0))/10^6</f>
        <v>97.675971027026989</v>
      </c>
    </row>
    <row r="57" spans="1:19" x14ac:dyDescent="0.3">
      <c r="A57" s="54">
        <v>43070</v>
      </c>
      <c r="B57" s="55">
        <f t="shared" si="2"/>
        <v>2017</v>
      </c>
      <c r="C57" s="1">
        <v>312.63831667244779</v>
      </c>
      <c r="D57" s="1">
        <f>D56*(1+'Summary_Population World_USA'!$V$7)</f>
        <v>2554.2918687305487</v>
      </c>
      <c r="E57" s="1">
        <f>E56*(1+'Summary_Population World_USA'!$V$8)</f>
        <v>312.63831667244779</v>
      </c>
      <c r="F57" s="1">
        <f>INDEX('Worldwide Population'!56:56,1,MATCH(F$2,'Worldwide Population'!$1:$1,0))/10^6</f>
        <v>193.32501836996499</v>
      </c>
      <c r="G57" s="1">
        <f>INDEX('Worldwide Population'!56:56,1,MATCH(G$2,'Worldwide Population'!$1:$1,0))/10^6</f>
        <v>220.27994876694001</v>
      </c>
      <c r="H57" s="1">
        <f>INDEX('Worldwide Population'!56:56,1,MATCH(H$2,'Worldwide Population'!$1:$1,0))/10^6</f>
        <v>144.341642703415</v>
      </c>
      <c r="I57" s="1">
        <f>INDEX('Worldwide Population'!56:56,1,MATCH(I$2,'Worldwide Population'!$1:$1,0))/10^6</f>
        <v>189.36889174183699</v>
      </c>
      <c r="J57" s="1">
        <f>INDEX('Worldwide Population'!56:56,1,MATCH(J$2,'Worldwide Population'!$1:$1,0))/10^6</f>
        <v>311.07731562162201</v>
      </c>
      <c r="L57" s="1">
        <f t="shared" si="3"/>
        <v>82.328090057077929</v>
      </c>
      <c r="M57" s="1">
        <f t="shared" si="4"/>
        <v>521.35254729510484</v>
      </c>
      <c r="N57" s="1">
        <f t="shared" si="5"/>
        <v>44.386976227504739</v>
      </c>
      <c r="O57" s="1">
        <f>INDEX('USA Population'!56:56,1,MATCH(O$2,'USA Population'!$1:$1,0))/10^6</f>
        <v>64.426657439957594</v>
      </c>
      <c r="P57" s="1">
        <f>INDEX('USA Population'!56:56,1,MATCH(P$2,'USA Population'!$1:$1,0))/10^6</f>
        <v>63.347829235064502</v>
      </c>
      <c r="Q57" s="1">
        <f>INDEX('USA Population'!56:56,1,MATCH(Q$2,'USA Population'!$1:$1,0))/10^6</f>
        <v>47.672892915993302</v>
      </c>
      <c r="R57" s="1">
        <f>INDEX('USA Population'!56:56,1,MATCH(R$2,'USA Population'!$1:$1,0))/10^6</f>
        <v>54.901827250068905</v>
      </c>
      <c r="S57" s="1">
        <f>INDEX('USA Population'!56:56,1,MATCH(S$2,'USA Population'!$1:$1,0))/10^6</f>
        <v>98.654817675675702</v>
      </c>
    </row>
    <row r="58" spans="1:19" x14ac:dyDescent="0.3">
      <c r="A58" s="54">
        <v>43101</v>
      </c>
      <c r="B58" s="55">
        <f t="shared" si="2"/>
        <v>2018</v>
      </c>
      <c r="C58" s="1">
        <v>317.38565365193119</v>
      </c>
      <c r="D58" s="1">
        <f>D57*(1+'Summary_Population World_USA'!$V$7)</f>
        <v>2694.0247335665022</v>
      </c>
      <c r="E58" s="1">
        <f>E57*(1+'Summary_Population World_USA'!$V$8)</f>
        <v>317.38565365193119</v>
      </c>
      <c r="F58" s="1">
        <f>INDEX('Worldwide Population'!57:57,1,MATCH(F$2,'Worldwide Population'!$1:$1,0))/10^6</f>
        <v>193.88292493623501</v>
      </c>
      <c r="G58" s="1">
        <f>INDEX('Worldwide Population'!57:57,1,MATCH(G$2,'Worldwide Population'!$1:$1,0))/10^6</f>
        <v>220.725560546758</v>
      </c>
      <c r="H58" s="1">
        <f>INDEX('Worldwide Population'!57:57,1,MATCH(H$2,'Worldwide Population'!$1:$1,0))/10^6</f>
        <v>144.418815754506</v>
      </c>
      <c r="I58" s="1">
        <f>INDEX('Worldwide Population'!57:57,1,MATCH(I$2,'Worldwide Population'!$1:$1,0))/10^6</f>
        <v>189.614884512618</v>
      </c>
      <c r="J58" s="1">
        <f>INDEX('Worldwide Population'!57:57,1,MATCH(J$2,'Worldwide Population'!$1:$1,0))/10^6</f>
        <v>314.251850378379</v>
      </c>
      <c r="L58" s="1">
        <f t="shared" si="3"/>
        <v>78.288461234143043</v>
      </c>
      <c r="M58" s="1">
        <f t="shared" si="4"/>
        <v>545.13923167636062</v>
      </c>
      <c r="N58" s="1">
        <f t="shared" si="5"/>
        <v>44.37917338523097</v>
      </c>
      <c r="O58" s="1">
        <f>INDEX('USA Population'!57:57,1,MATCH(O$2,'USA Population'!$1:$1,0))/10^6</f>
        <v>64.611006760009104</v>
      </c>
      <c r="P58" s="1">
        <f>INDEX('USA Population'!57:57,1,MATCH(P$2,'USA Population'!$1:$1,0))/10^6</f>
        <v>63.425236027193499</v>
      </c>
      <c r="Q58" s="1">
        <f>INDEX('USA Population'!57:57,1,MATCH(Q$2,'USA Population'!$1:$1,0))/10^6</f>
        <v>47.700722456767799</v>
      </c>
      <c r="R58" s="1">
        <f>INDEX('USA Population'!57:57,1,MATCH(R$2,'USA Population'!$1:$1,0))/10^6</f>
        <v>54.921855220635798</v>
      </c>
      <c r="S58" s="1">
        <f>INDEX('USA Population'!57:57,1,MATCH(S$2,'USA Population'!$1:$1,0))/10^6</f>
        <v>99.6336643243243</v>
      </c>
    </row>
    <row r="59" spans="1:19" x14ac:dyDescent="0.3">
      <c r="A59" s="54">
        <v>43132</v>
      </c>
      <c r="B59" s="55">
        <f t="shared" si="2"/>
        <v>2018</v>
      </c>
      <c r="C59" s="1">
        <v>322.20507779154474</v>
      </c>
      <c r="D59" s="1">
        <f>D58*(1+'Summary_Population World_USA'!$V$7)</f>
        <v>2841.4017027251798</v>
      </c>
      <c r="E59" s="1">
        <f>E58*(1+'Summary_Population World_USA'!$V$8)</f>
        <v>322.20507779154474</v>
      </c>
      <c r="F59" s="1">
        <f>INDEX('Worldwide Population'!58:58,1,MATCH(F$2,'Worldwide Population'!$1:$1,0))/10^6</f>
        <v>194.42967328316701</v>
      </c>
      <c r="G59" s="1">
        <f>INDEX('Worldwide Population'!58:58,1,MATCH(G$2,'Worldwide Population'!$1:$1,0))/10^6</f>
        <v>221.152865115688</v>
      </c>
      <c r="H59" s="1">
        <f>INDEX('Worldwide Population'!58:58,1,MATCH(H$2,'Worldwide Population'!$1:$1,0))/10^6</f>
        <v>144.494445324146</v>
      </c>
      <c r="I59" s="1">
        <f>INDEX('Worldwide Population'!58:58,1,MATCH(I$2,'Worldwide Population'!$1:$1,0))/10^6</f>
        <v>189.85037817371898</v>
      </c>
      <c r="J59" s="1">
        <f>INDEX('Worldwide Population'!58:58,1,MATCH(J$2,'Worldwide Population'!$1:$1,0))/10^6</f>
        <v>317.42638513513498</v>
      </c>
      <c r="L59" s="1">
        <f t="shared" si="3"/>
        <v>79.47725252191438</v>
      </c>
      <c r="M59" s="1">
        <f t="shared" si="4"/>
        <v>570.01118236501054</v>
      </c>
      <c r="N59" s="1">
        <f t="shared" si="5"/>
        <v>44.371371914628639</v>
      </c>
      <c r="O59" s="1">
        <f>INDEX('USA Population'!58:58,1,MATCH(O$2,'USA Population'!$1:$1,0))/10^6</f>
        <v>64.791435103828704</v>
      </c>
      <c r="P59" s="1">
        <f>INDEX('USA Population'!58:58,1,MATCH(P$2,'USA Population'!$1:$1,0))/10^6</f>
        <v>63.499064007580195</v>
      </c>
      <c r="Q59" s="1">
        <f>INDEX('USA Population'!58:58,1,MATCH(Q$2,'USA Population'!$1:$1,0))/10^6</f>
        <v>47.727995403684197</v>
      </c>
      <c r="R59" s="1">
        <f>INDEX('USA Population'!58:58,1,MATCH(R$2,'USA Population'!$1:$1,0))/10^6</f>
        <v>54.940629394436499</v>
      </c>
      <c r="S59" s="1">
        <f>INDEX('USA Population'!58:58,1,MATCH(S$2,'USA Population'!$1:$1,0))/10^6</f>
        <v>100.612510972973</v>
      </c>
    </row>
    <row r="60" spans="1:19" x14ac:dyDescent="0.3">
      <c r="A60" s="54">
        <v>43160</v>
      </c>
      <c r="B60" s="55">
        <f t="shared" si="2"/>
        <v>2018</v>
      </c>
      <c r="C60" s="1">
        <v>327.09768371732355</v>
      </c>
      <c r="D60" s="1">
        <f>D59*(1+'Summary_Population World_USA'!$V$7)</f>
        <v>2996.8409479156162</v>
      </c>
      <c r="E60" s="1">
        <f>E59*(1+'Summary_Population World_USA'!$V$8)</f>
        <v>327.09768371732355</v>
      </c>
      <c r="F60" s="1">
        <f>INDEX('Worldwide Population'!59:59,1,MATCH(F$2,'Worldwide Population'!$1:$1,0))/10^6</f>
        <v>194.96548657690801</v>
      </c>
      <c r="G60" s="1">
        <f>INDEX('Worldwide Population'!59:59,1,MATCH(G$2,'Worldwide Population'!$1:$1,0))/10^6</f>
        <v>221.56257977340499</v>
      </c>
      <c r="H60" s="1">
        <f>INDEX('Worldwide Population'!59:59,1,MATCH(H$2,'Worldwide Population'!$1:$1,0))/10^6</f>
        <v>144.56856228237302</v>
      </c>
      <c r="I60" s="1">
        <f>INDEX('Worldwide Population'!59:59,1,MATCH(I$2,'Worldwide Population'!$1:$1,0))/10^6</f>
        <v>190.07581235718598</v>
      </c>
      <c r="J60" s="1">
        <f>INDEX('Worldwide Population'!59:59,1,MATCH(J$2,'Worldwide Population'!$1:$1,0))/10^6</f>
        <v>320.60091989189203</v>
      </c>
      <c r="L60" s="1">
        <f t="shared" si="3"/>
        <v>80.684095316939818</v>
      </c>
      <c r="M60" s="1">
        <f t="shared" si="4"/>
        <v>596.01791458306229</v>
      </c>
      <c r="N60" s="1">
        <f t="shared" si="5"/>
        <v>44.363571815456623</v>
      </c>
      <c r="O60" s="1">
        <f>INDEX('USA Population'!59:59,1,MATCH(O$2,'USA Population'!$1:$1,0))/10^6</f>
        <v>64.968025867734696</v>
      </c>
      <c r="P60" s="1">
        <f>INDEX('USA Population'!59:59,1,MATCH(P$2,'USA Population'!$1:$1,0))/10^6</f>
        <v>63.569474661649195</v>
      </c>
      <c r="Q60" s="1">
        <f>INDEX('USA Population'!59:59,1,MATCH(Q$2,'USA Population'!$1:$1,0))/10^6</f>
        <v>47.754722888680504</v>
      </c>
      <c r="R60" s="1">
        <f>INDEX('USA Population'!59:59,1,MATCH(R$2,'USA Population'!$1:$1,0))/10^6</f>
        <v>54.958227933026905</v>
      </c>
      <c r="S60" s="1">
        <f>INDEX('USA Population'!59:59,1,MATCH(S$2,'USA Population'!$1:$1,0))/10^6</f>
        <v>101.591357621622</v>
      </c>
    </row>
    <row r="61" spans="1:19" x14ac:dyDescent="0.3">
      <c r="A61" s="54">
        <v>43191</v>
      </c>
      <c r="B61" s="55">
        <f t="shared" si="2"/>
        <v>2018</v>
      </c>
      <c r="C61" s="1">
        <v>332.06458267693364</v>
      </c>
      <c r="D61" s="1">
        <f>D60*(1+'Summary_Population World_USA'!$V$7)</f>
        <v>3160.7835169839113</v>
      </c>
      <c r="E61" s="1">
        <f>E60*(1+'Summary_Population World_USA'!$V$8)</f>
        <v>332.06458267693364</v>
      </c>
      <c r="F61" s="1">
        <f>INDEX('Worldwide Population'!60:60,1,MATCH(F$2,'Worldwide Population'!$1:$1,0))/10^6</f>
        <v>195.49058352024599</v>
      </c>
      <c r="G61" s="1">
        <f>INDEX('Worldwide Population'!60:60,1,MATCH(G$2,'Worldwide Population'!$1:$1,0))/10^6</f>
        <v>221.95539665492902</v>
      </c>
      <c r="H61" s="1">
        <f>INDEX('Worldwide Population'!60:60,1,MATCH(H$2,'Worldwide Population'!$1:$1,0))/10^6</f>
        <v>144.64119688181498</v>
      </c>
      <c r="I61" s="1">
        <f>INDEX('Worldwide Population'!60:60,1,MATCH(I$2,'Worldwide Population'!$1:$1,0))/10^6</f>
        <v>190.291609014806</v>
      </c>
      <c r="J61" s="1">
        <f>INDEX('Worldwide Population'!60:60,1,MATCH(J$2,'Worldwide Population'!$1:$1,0))/10^6</f>
        <v>323.77545464864897</v>
      </c>
      <c r="L61" s="1">
        <f t="shared" si="3"/>
        <v>81.909263726976974</v>
      </c>
      <c r="M61" s="1">
        <f t="shared" si="4"/>
        <v>623.21120268209734</v>
      </c>
      <c r="N61" s="1">
        <f t="shared" si="5"/>
        <v>44.355773087473828</v>
      </c>
      <c r="O61" s="1">
        <f>INDEX('USA Population'!60:60,1,MATCH(O$2,'USA Population'!$1:$1,0))/10^6</f>
        <v>65.140860674266705</v>
      </c>
      <c r="P61" s="1">
        <f>INDEX('USA Population'!60:60,1,MATCH(P$2,'USA Population'!$1:$1,0))/10^6</f>
        <v>63.636622556739205</v>
      </c>
      <c r="Q61" s="1">
        <f>INDEX('USA Population'!60:60,1,MATCH(Q$2,'USA Population'!$1:$1,0))/10^6</f>
        <v>47.780915821054698</v>
      </c>
      <c r="R61" s="1">
        <f>INDEX('USA Population'!60:60,1,MATCH(R$2,'USA Population'!$1:$1,0))/10^6</f>
        <v>54.9747241655012</v>
      </c>
      <c r="S61" s="1">
        <f>INDEX('USA Population'!60:60,1,MATCH(S$2,'USA Population'!$1:$1,0))/10^6</f>
        <v>102.57020427027001</v>
      </c>
    </row>
    <row r="62" spans="1:19" x14ac:dyDescent="0.3">
      <c r="A62" s="54">
        <v>43221</v>
      </c>
      <c r="B62" s="55">
        <f t="shared" si="2"/>
        <v>2018</v>
      </c>
      <c r="C62" s="1">
        <v>337.10690279206705</v>
      </c>
      <c r="D62" s="1">
        <f>D61*(1+'Summary_Population World_USA'!$V$7)</f>
        <v>3333.6945853552502</v>
      </c>
      <c r="E62" s="1">
        <f>E61*(1+'Summary_Population World_USA'!$V$8)</f>
        <v>337.10690279206705</v>
      </c>
      <c r="F62" s="1">
        <f>INDEX('Worldwide Population'!61:61,1,MATCH(F$2,'Worldwide Population'!$1:$1,0))/10^6</f>
        <v>196.005178441879</v>
      </c>
      <c r="G62" s="1">
        <f>INDEX('Worldwide Population'!61:61,1,MATCH(G$2,'Worldwide Population'!$1:$1,0))/10^6</f>
        <v>222.33198335794802</v>
      </c>
      <c r="H62" s="1">
        <f>INDEX('Worldwide Population'!61:61,1,MATCH(H$2,'Worldwide Population'!$1:$1,0))/10^6</f>
        <v>144.712378770041</v>
      </c>
      <c r="I62" s="1">
        <f>INDEX('Worldwide Population'!61:61,1,MATCH(I$2,'Worldwide Population'!$1:$1,0))/10^6</f>
        <v>190.49817306556699</v>
      </c>
      <c r="J62" s="1">
        <f>INDEX('Worldwide Population'!61:61,1,MATCH(J$2,'Worldwide Population'!$1:$1,0))/10^6</f>
        <v>326.94998940540597</v>
      </c>
      <c r="L62" s="1">
        <f t="shared" si="3"/>
        <v>83.15303602204321</v>
      </c>
      <c r="M62" s="1">
        <f t="shared" si="4"/>
        <v>651.64518321594687</v>
      </c>
      <c r="N62" s="1">
        <f t="shared" si="5"/>
        <v>44.347975730439217</v>
      </c>
      <c r="O62" s="1">
        <f>INDEX('USA Population'!61:61,1,MATCH(O$2,'USA Population'!$1:$1,0))/10^6</f>
        <v>65.310019409911604</v>
      </c>
      <c r="P62" s="1">
        <f>INDEX('USA Population'!61:61,1,MATCH(P$2,'USA Population'!$1:$1,0))/10^6</f>
        <v>63.700655603829503</v>
      </c>
      <c r="Q62" s="1">
        <f>INDEX('USA Population'!61:61,1,MATCH(Q$2,'USA Population'!$1:$1,0))/10^6</f>
        <v>47.806584891917602</v>
      </c>
      <c r="R62" s="1">
        <f>INDEX('USA Population'!61:61,1,MATCH(R$2,'USA Population'!$1:$1,0))/10^6</f>
        <v>54.990186882358898</v>
      </c>
      <c r="S62" s="1">
        <f>INDEX('USA Population'!61:61,1,MATCH(S$2,'USA Population'!$1:$1,0))/10^6</f>
        <v>103.54905091891899</v>
      </c>
    </row>
    <row r="63" spans="1:19" x14ac:dyDescent="0.3">
      <c r="A63" s="54">
        <v>43252</v>
      </c>
      <c r="B63" s="55">
        <f t="shared" si="2"/>
        <v>2018</v>
      </c>
      <c r="C63" s="1">
        <v>342.22578931467012</v>
      </c>
      <c r="D63" s="1">
        <f>D62*(1+'Summary_Population World_USA'!$V$7)</f>
        <v>3516.0647759362132</v>
      </c>
      <c r="E63" s="1">
        <f>E62*(1+'Summary_Population World_USA'!$V$8)</f>
        <v>342.22578931467012</v>
      </c>
      <c r="F63" s="1">
        <f>INDEX('Worldwide Population'!62:62,1,MATCH(F$2,'Worldwide Population'!$1:$1,0))/10^6</f>
        <v>196.50948138389998</v>
      </c>
      <c r="G63" s="1">
        <f>INDEX('Worldwide Population'!62:62,1,MATCH(G$2,'Worldwide Population'!$1:$1,0))/10^6</f>
        <v>222.69298357871401</v>
      </c>
      <c r="H63" s="1">
        <f>INDEX('Worldwide Population'!62:62,1,MATCH(H$2,'Worldwide Population'!$1:$1,0))/10^6</f>
        <v>144.78213700165901</v>
      </c>
      <c r="I63" s="1">
        <f>INDEX('Worldwide Population'!62:62,1,MATCH(I$2,'Worldwide Population'!$1:$1,0))/10^6</f>
        <v>190.69589302515101</v>
      </c>
      <c r="J63" s="1">
        <f>INDEX('Worldwide Population'!62:62,1,MATCH(J$2,'Worldwide Population'!$1:$1,0))/10^6</f>
        <v>330.124524162162</v>
      </c>
      <c r="L63" s="1">
        <f t="shared" si="3"/>
        <v>84.415694697618648</v>
      </c>
      <c r="M63" s="1">
        <f t="shared" si="4"/>
        <v>681.37646271605354</v>
      </c>
      <c r="N63" s="1">
        <f t="shared" si="5"/>
        <v>44.340179744111786</v>
      </c>
      <c r="O63" s="1">
        <f>INDEX('USA Population'!62:62,1,MATCH(O$2,'USA Population'!$1:$1,0))/10^6</f>
        <v>65.475580262029297</v>
      </c>
      <c r="P63" s="1">
        <f>INDEX('USA Population'!62:62,1,MATCH(P$2,'USA Population'!$1:$1,0))/10^6</f>
        <v>63.761715312747796</v>
      </c>
      <c r="Q63" s="1">
        <f>INDEX('USA Population'!62:62,1,MATCH(Q$2,'USA Population'!$1:$1,0))/10^6</f>
        <v>47.831740578556904</v>
      </c>
      <c r="R63" s="1">
        <f>INDEX('USA Population'!62:62,1,MATCH(R$2,'USA Population'!$1:$1,0))/10^6</f>
        <v>55.004680612107904</v>
      </c>
      <c r="S63" s="1">
        <f>INDEX('USA Population'!62:62,1,MATCH(S$2,'USA Population'!$1:$1,0))/10^6</f>
        <v>104.527897567568</v>
      </c>
    </row>
    <row r="64" spans="1:19" x14ac:dyDescent="0.3">
      <c r="A64" s="54">
        <v>43282</v>
      </c>
      <c r="B64" s="55">
        <f t="shared" si="2"/>
        <v>2018</v>
      </c>
      <c r="C64" s="1">
        <v>347.42240488706204</v>
      </c>
      <c r="D64" s="1">
        <f>D63*(1+'Summary_Population World_USA'!$V$7)</f>
        <v>3708.4115512225185</v>
      </c>
      <c r="E64" s="1">
        <f>E63*(1+'Summary_Population World_USA'!$V$8)</f>
        <v>347.42240488706204</v>
      </c>
      <c r="F64" s="1">
        <f>INDEX('Worldwide Population'!63:63,1,MATCH(F$2,'Worldwide Population'!$1:$1,0))/10^6</f>
        <v>197.00369818752301</v>
      </c>
      <c r="G64" s="1">
        <f>INDEX('Worldwide Population'!63:63,1,MATCH(G$2,'Worldwide Population'!$1:$1,0))/10^6</f>
        <v>223.03901775347302</v>
      </c>
      <c r="H64" s="1">
        <f>INDEX('Worldwide Population'!63:63,1,MATCH(H$2,'Worldwide Population'!$1:$1,0))/10^6</f>
        <v>144.85050005017899</v>
      </c>
      <c r="I64" s="1">
        <f>INDEX('Worldwide Population'!63:63,1,MATCH(I$2,'Worldwide Population'!$1:$1,0))/10^6</f>
        <v>190.88514161739002</v>
      </c>
      <c r="J64" s="1">
        <f>INDEX('Worldwide Population'!63:63,1,MATCH(J$2,'Worldwide Population'!$1:$1,0))/10^6</f>
        <v>333.299058918919</v>
      </c>
      <c r="L64" s="1">
        <f t="shared" si="3"/>
        <v>85.697526538808646</v>
      </c>
      <c r="M64" s="1">
        <f t="shared" si="4"/>
        <v>712.46423038407863</v>
      </c>
      <c r="N64" s="1">
        <f t="shared" si="5"/>
        <v>44.332385128250579</v>
      </c>
      <c r="O64" s="1">
        <f>INDEX('USA Population'!63:63,1,MATCH(O$2,'USA Population'!$1:$1,0))/10^6</f>
        <v>65.637619754990695</v>
      </c>
      <c r="P64" s="1">
        <f>INDEX('USA Population'!63:63,1,MATCH(P$2,'USA Population'!$1:$1,0))/10^6</f>
        <v>63.8199370406534</v>
      </c>
      <c r="Q64" s="1">
        <f>INDEX('USA Population'!63:63,1,MATCH(Q$2,'USA Population'!$1:$1,0))/10^6</f>
        <v>47.856393148713096</v>
      </c>
      <c r="R64" s="1">
        <f>INDEX('USA Population'!63:63,1,MATCH(R$2,'USA Population'!$1:$1,0))/10^6</f>
        <v>55.018265881537495</v>
      </c>
      <c r="S64" s="1">
        <f>INDEX('USA Population'!63:63,1,MATCH(S$2,'USA Population'!$1:$1,0))/10^6</f>
        <v>105.50674421621599</v>
      </c>
    </row>
    <row r="65" spans="1:19" x14ac:dyDescent="0.3">
      <c r="A65" s="54">
        <v>43313</v>
      </c>
      <c r="B65" s="55">
        <f t="shared" si="2"/>
        <v>2018</v>
      </c>
      <c r="C65" s="1">
        <v>352.69792980600351</v>
      </c>
      <c r="D65" s="1">
        <f>D64*(1+'Summary_Population World_USA'!$V$7)</f>
        <v>3911.2806815621916</v>
      </c>
      <c r="E65" s="1">
        <f>E64*(1+'Summary_Population World_USA'!$V$8)</f>
        <v>352.69792980600351</v>
      </c>
      <c r="F65" s="1">
        <f>INDEX('Worldwide Population'!64:64,1,MATCH(F$2,'Worldwide Population'!$1:$1,0))/10^6</f>
        <v>197.48803057710799</v>
      </c>
      <c r="G65" s="1">
        <f>INDEX('Worldwide Population'!64:64,1,MATCH(G$2,'Worldwide Population'!$1:$1,0))/10^6</f>
        <v>223.370683702706</v>
      </c>
      <c r="H65" s="1">
        <f>INDEX('Worldwide Population'!64:64,1,MATCH(H$2,'Worldwide Population'!$1:$1,0))/10^6</f>
        <v>144.91749581963199</v>
      </c>
      <c r="I65" s="1">
        <f>INDEX('Worldwide Population'!64:64,1,MATCH(I$2,'Worldwide Population'!$1:$1,0))/10^6</f>
        <v>191.06627636769198</v>
      </c>
      <c r="J65" s="1">
        <f>INDEX('Worldwide Population'!64:64,1,MATCH(J$2,'Worldwide Population'!$1:$1,0))/10^6</f>
        <v>336.473593675676</v>
      </c>
      <c r="L65" s="1">
        <f t="shared" si="3"/>
        <v>86.998822685480874</v>
      </c>
      <c r="M65" s="1">
        <f t="shared" si="4"/>
        <v>744.97037592610411</v>
      </c>
      <c r="N65" s="1">
        <f t="shared" si="5"/>
        <v>44.324591882614683</v>
      </c>
      <c r="O65" s="1">
        <f>INDEX('USA Population'!64:64,1,MATCH(O$2,'USA Population'!$1:$1,0))/10^6</f>
        <v>65.796212785549301</v>
      </c>
      <c r="P65" s="1">
        <f>INDEX('USA Population'!64:64,1,MATCH(P$2,'USA Population'!$1:$1,0))/10^6</f>
        <v>63.875450233644401</v>
      </c>
      <c r="Q65" s="1">
        <f>INDEX('USA Population'!64:64,1,MATCH(Q$2,'USA Population'!$1:$1,0))/10^6</f>
        <v>47.880552664770903</v>
      </c>
      <c r="R65" s="1">
        <f>INDEX('USA Population'!64:64,1,MATCH(R$2,'USA Population'!$1:$1,0))/10^6</f>
        <v>55.030999460563194</v>
      </c>
      <c r="S65" s="1">
        <f>INDEX('USA Population'!64:64,1,MATCH(S$2,'USA Population'!$1:$1,0))/10^6</f>
        <v>106.485590864865</v>
      </c>
    </row>
    <row r="66" spans="1:19" x14ac:dyDescent="0.3">
      <c r="A66" s="54">
        <v>43344</v>
      </c>
      <c r="B66" s="55">
        <f t="shared" si="2"/>
        <v>2018</v>
      </c>
      <c r="C66" s="1">
        <v>358.05356229077518</v>
      </c>
      <c r="D66" s="1">
        <f>D65*(1+'Summary_Population World_USA'!$V$7)</f>
        <v>4125.2477937402628</v>
      </c>
      <c r="E66" s="1">
        <f>E65*(1+'Summary_Population World_USA'!$V$8)</f>
        <v>358.05356229077518</v>
      </c>
      <c r="F66" s="1">
        <f>INDEX('Worldwide Population'!65:65,1,MATCH(F$2,'Worldwide Population'!$1:$1,0))/10^6</f>
        <v>197.96267624249501</v>
      </c>
      <c r="G66" s="1">
        <f>INDEX('Worldwide Population'!65:65,1,MATCH(G$2,'Worldwide Population'!$1:$1,0))/10^6</f>
        <v>223.68855727575999</v>
      </c>
      <c r="H66" s="1">
        <f>INDEX('Worldwide Population'!65:65,1,MATCH(H$2,'Worldwide Population'!$1:$1,0))/10^6</f>
        <v>144.98315165596</v>
      </c>
      <c r="I66" s="1">
        <f>INDEX('Worldwide Population'!65:65,1,MATCH(I$2,'Worldwide Population'!$1:$1,0))/10^6</f>
        <v>191.23964017850901</v>
      </c>
      <c r="J66" s="1">
        <f>INDEX('Worldwide Population'!65:65,1,MATCH(J$2,'Worldwide Population'!$1:$1,0))/10^6</f>
        <v>339.648128432433</v>
      </c>
      <c r="L66" s="1">
        <f t="shared" si="3"/>
        <v>88.319878698391221</v>
      </c>
      <c r="M66" s="1">
        <f t="shared" si="4"/>
        <v>778.95961276301421</v>
      </c>
      <c r="N66" s="1">
        <f t="shared" si="5"/>
        <v>44.31680000696322</v>
      </c>
      <c r="O66" s="1">
        <f>INDEX('USA Population'!65:65,1,MATCH(O$2,'USA Population'!$1:$1,0))/10^6</f>
        <v>65.951432657458895</v>
      </c>
      <c r="P66" s="1">
        <f>INDEX('USA Population'!65:65,1,MATCH(P$2,'USA Population'!$1:$1,0))/10^6</f>
        <v>63.928378661384002</v>
      </c>
      <c r="Q66" s="1">
        <f>INDEX('USA Population'!65:65,1,MATCH(Q$2,'USA Population'!$1:$1,0))/10^6</f>
        <v>47.904228987866105</v>
      </c>
      <c r="R66" s="1">
        <f>INDEX('USA Population'!65:65,1,MATCH(R$2,'USA Population'!$1:$1,0))/10^6</f>
        <v>55.0429345924979</v>
      </c>
      <c r="S66" s="1">
        <f>INDEX('USA Population'!65:65,1,MATCH(S$2,'USA Population'!$1:$1,0))/10^6</f>
        <v>107.464437513513</v>
      </c>
    </row>
    <row r="67" spans="1:19" x14ac:dyDescent="0.3">
      <c r="A67" s="54">
        <v>43374</v>
      </c>
      <c r="B67" s="55">
        <f t="shared" si="2"/>
        <v>2018</v>
      </c>
      <c r="C67" s="1">
        <v>363.49051875532666</v>
      </c>
      <c r="D67" s="1">
        <f>D66*(1+'Summary_Population World_USA'!$V$7)</f>
        <v>4350.9200042789917</v>
      </c>
      <c r="E67" s="1">
        <f>E66*(1+'Summary_Population World_USA'!$V$8)</f>
        <v>363.49051875532666</v>
      </c>
      <c r="F67" s="1">
        <f>INDEX('Worldwide Population'!66:66,1,MATCH(F$2,'Worldwide Population'!$1:$1,0))/10^6</f>
        <v>198.427828919696</v>
      </c>
      <c r="G67" s="1">
        <f>INDEX('Worldwide Population'!66:66,1,MATCH(G$2,'Worldwide Population'!$1:$1,0))/10^6</f>
        <v>223.99319299370399</v>
      </c>
      <c r="H67" s="1">
        <f>INDEX('Worldwide Population'!66:66,1,MATCH(H$2,'Worldwide Population'!$1:$1,0))/10^6</f>
        <v>145.04749435818201</v>
      </c>
      <c r="I67" s="1">
        <f>INDEX('Worldwide Population'!66:66,1,MATCH(I$2,'Worldwide Population'!$1:$1,0))/10^6</f>
        <v>191.405561886973</v>
      </c>
      <c r="J67" s="1">
        <f>INDEX('Worldwide Population'!66:66,1,MATCH(J$2,'Worldwide Population'!$1:$1,0))/10^6</f>
        <v>342.82266318918903</v>
      </c>
      <c r="L67" s="1">
        <f t="shared" si="3"/>
        <v>89.660994626313922</v>
      </c>
      <c r="M67" s="1">
        <f t="shared" si="4"/>
        <v>814.49960686234488</v>
      </c>
      <c r="N67" s="1">
        <f t="shared" si="5"/>
        <v>44.309009501055357</v>
      </c>
      <c r="O67" s="1">
        <f>INDEX('USA Population'!66:66,1,MATCH(O$2,'USA Population'!$1:$1,0))/10^6</f>
        <v>66.103351115355608</v>
      </c>
      <c r="P67" s="1">
        <f>INDEX('USA Population'!66:66,1,MATCH(P$2,'USA Population'!$1:$1,0))/10^6</f>
        <v>63.978840644684396</v>
      </c>
      <c r="Q67" s="1">
        <f>INDEX('USA Population'!66:66,1,MATCH(Q$2,'USA Population'!$1:$1,0))/10^6</f>
        <v>47.927431781910798</v>
      </c>
      <c r="R67" s="1">
        <f>INDEX('USA Population'!66:66,1,MATCH(R$2,'USA Population'!$1:$1,0))/10^6</f>
        <v>55.054121210566997</v>
      </c>
      <c r="S67" s="1">
        <f>INDEX('USA Population'!66:66,1,MATCH(S$2,'USA Population'!$1:$1,0))/10^6</f>
        <v>108.443284162162</v>
      </c>
    </row>
    <row r="68" spans="1:19" x14ac:dyDescent="0.3">
      <c r="A68" s="54">
        <v>43405</v>
      </c>
      <c r="B68" s="55">
        <f t="shared" ref="B68:B117" si="6">YEAR(A68)</f>
        <v>2018</v>
      </c>
      <c r="C68" s="1">
        <v>369.01003408455836</v>
      </c>
      <c r="D68" s="1">
        <f>D67*(1+'Summary_Population World_USA'!$V$7)</f>
        <v>4588.9376420879844</v>
      </c>
      <c r="E68" s="1">
        <f>E67*(1+'Summary_Population World_USA'!$V$8)</f>
        <v>369.01003408455836</v>
      </c>
      <c r="F68" s="1">
        <f>INDEX('Worldwide Population'!67:67,1,MATCH(F$2,'Worldwide Population'!$1:$1,0))/10^6</f>
        <v>198.88367846997201</v>
      </c>
      <c r="G68" s="1">
        <f>INDEX('Worldwide Population'!67:67,1,MATCH(G$2,'Worldwide Population'!$1:$1,0))/10^6</f>
        <v>224.285124688499</v>
      </c>
      <c r="H68" s="1">
        <f>INDEX('Worldwide Population'!67:67,1,MATCH(H$2,'Worldwide Population'!$1:$1,0))/10^6</f>
        <v>145.110550189327</v>
      </c>
      <c r="I68" s="1">
        <f>INDEX('Worldwide Population'!67:67,1,MATCH(I$2,'Worldwide Population'!$1:$1,0))/10^6</f>
        <v>191.56435680487098</v>
      </c>
      <c r="J68" s="1">
        <f>INDEX('Worldwide Population'!67:67,1,MATCH(J$2,'Worldwide Population'!$1:$1,0))/10^6</f>
        <v>345.99719794594597</v>
      </c>
      <c r="L68" s="1">
        <f t="shared" ref="L68:L117" si="7">C68*SUMIFS($U$4:$AD$4,$U$3:$AD$3,B68)</f>
        <v>91.022475074191078</v>
      </c>
      <c r="M68" s="1">
        <f t="shared" si="4"/>
        <v>851.66111144807962</v>
      </c>
      <c r="N68" s="1">
        <f t="shared" si="5"/>
        <v>44.301220364650312</v>
      </c>
      <c r="O68" s="1">
        <f>INDEX('USA Population'!67:67,1,MATCH(O$2,'USA Population'!$1:$1,0))/10^6</f>
        <v>66.252038377919192</v>
      </c>
      <c r="P68" s="1">
        <f>INDEX('USA Population'!67:67,1,MATCH(P$2,'USA Population'!$1:$1,0))/10^6</f>
        <v>64.026949276020204</v>
      </c>
      <c r="Q68" s="1">
        <f>INDEX('USA Population'!67:67,1,MATCH(Q$2,'USA Population'!$1:$1,0))/10^6</f>
        <v>47.950170517537799</v>
      </c>
      <c r="R68" s="1">
        <f>INDEX('USA Population'!67:67,1,MATCH(R$2,'USA Population'!$1:$1,0))/10^6</f>
        <v>55.064606141445097</v>
      </c>
      <c r="S68" s="1">
        <f>INDEX('USA Population'!67:67,1,MATCH(S$2,'USA Population'!$1:$1,0))/10^6</f>
        <v>109.422130810811</v>
      </c>
    </row>
    <row r="69" spans="1:19" x14ac:dyDescent="0.3">
      <c r="A69" s="54">
        <v>43435</v>
      </c>
      <c r="B69" s="55">
        <f t="shared" si="6"/>
        <v>2018</v>
      </c>
      <c r="C69" s="1">
        <v>374.61336191479819</v>
      </c>
      <c r="D69" s="1">
        <f>D68*(1+'Summary_Population World_USA'!$V$7)</f>
        <v>4839.9760653521116</v>
      </c>
      <c r="E69" s="1">
        <f>E68*(1+'Summary_Population World_USA'!$V$8)</f>
        <v>374.61336191479819</v>
      </c>
      <c r="F69" s="1">
        <f>INDEX('Worldwide Population'!68:68,1,MATCH(F$2,'Worldwide Population'!$1:$1,0))/10^6</f>
        <v>199.33041095733</v>
      </c>
      <c r="G69" s="1">
        <f>INDEX('Worldwide Population'!68:68,1,MATCH(G$2,'Worldwide Population'!$1:$1,0))/10^6</f>
        <v>224.564866136798</v>
      </c>
      <c r="H69" s="1">
        <f>INDEX('Worldwide Population'!68:68,1,MATCH(H$2,'Worldwide Population'!$1:$1,0))/10^6</f>
        <v>145.17234488715698</v>
      </c>
      <c r="I69" s="1">
        <f>INDEX('Worldwide Population'!68:68,1,MATCH(I$2,'Worldwide Population'!$1:$1,0))/10^6</f>
        <v>191.71632724117899</v>
      </c>
      <c r="J69" s="1">
        <f>INDEX('Worldwide Population'!68:68,1,MATCH(J$2,'Worldwide Population'!$1:$1,0))/10^6</f>
        <v>349.17173270270303</v>
      </c>
      <c r="L69" s="1">
        <f t="shared" si="7"/>
        <v>92.404629272316896</v>
      </c>
      <c r="M69" s="1">
        <f t="shared" ref="M69:M117" si="8">M68*(1+$W$7)</f>
        <v>890.51810785657347</v>
      </c>
      <c r="N69" s="1">
        <f t="shared" ref="N69:N117" si="9">N68*(1+$W$8)</f>
        <v>44.293432597507334</v>
      </c>
      <c r="O69" s="1">
        <f>INDEX('USA Population'!68:68,1,MATCH(O$2,'USA Population'!$1:$1,0))/10^6</f>
        <v>66.397563170329107</v>
      </c>
      <c r="P69" s="1">
        <f>INDEX('USA Population'!68:68,1,MATCH(P$2,'USA Population'!$1:$1,0))/10^6</f>
        <v>64.072812632979804</v>
      </c>
      <c r="Q69" s="1">
        <f>INDEX('USA Population'!68:68,1,MATCH(Q$2,'USA Population'!$1:$1,0))/10^6</f>
        <v>47.972454475966295</v>
      </c>
      <c r="R69" s="1">
        <f>INDEX('USA Population'!68:68,1,MATCH(R$2,'USA Population'!$1:$1,0))/10^6</f>
        <v>55.074433296553096</v>
      </c>
      <c r="S69" s="1">
        <f>INDEX('USA Population'!68:68,1,MATCH(S$2,'USA Population'!$1:$1,0))/10^6</f>
        <v>110.400977459459</v>
      </c>
    </row>
    <row r="70" spans="1:19" x14ac:dyDescent="0.3">
      <c r="A70" s="54">
        <v>43466</v>
      </c>
      <c r="B70" s="55">
        <f t="shared" si="6"/>
        <v>2019</v>
      </c>
      <c r="C70" s="1">
        <v>380.30177491853755</v>
      </c>
      <c r="D70" s="1">
        <f>D69*(1+'Summary_Population World_USA'!$V$7)</f>
        <v>5104.7475778125145</v>
      </c>
      <c r="E70" s="1">
        <f>E69*(1+'Summary_Population World_USA'!$V$8)</f>
        <v>380.30177491853755</v>
      </c>
      <c r="F70" s="1">
        <f>INDEX('Worldwide Population'!69:69,1,MATCH(F$2,'Worldwide Population'!$1:$1,0))/10^6</f>
        <v>199.76820872446501</v>
      </c>
      <c r="G70" s="1">
        <f>INDEX('Worldwide Population'!69:69,1,MATCH(G$2,'Worldwide Population'!$1:$1,0))/10^6</f>
        <v>224.83291168689399</v>
      </c>
      <c r="H70" s="1">
        <f>INDEX('Worldwide Population'!69:69,1,MATCH(H$2,'Worldwide Population'!$1:$1,0))/10^6</f>
        <v>145.232903674672</v>
      </c>
      <c r="I70" s="1">
        <f>INDEX('Worldwide Population'!69:69,1,MATCH(I$2,'Worldwide Population'!$1:$1,0))/10^6</f>
        <v>191.861763007403</v>
      </c>
      <c r="J70" s="1">
        <f>INDEX('Worldwide Population'!69:69,1,MATCH(J$2,'Worldwide Population'!$1:$1,0))/10^6</f>
        <v>352.34626745946002</v>
      </c>
      <c r="L70" s="1">
        <f t="shared" si="7"/>
        <v>87.469408231263657</v>
      </c>
      <c r="M70" s="1">
        <f t="shared" si="8"/>
        <v>931.14795281902138</v>
      </c>
      <c r="N70" s="1">
        <f t="shared" si="9"/>
        <v>44.285646199385717</v>
      </c>
      <c r="O70" s="1">
        <f>INDEX('USA Population'!69:69,1,MATCH(O$2,'USA Population'!$1:$1,0))/10^6</f>
        <v>66.539992756030102</v>
      </c>
      <c r="P70" s="1">
        <f>INDEX('USA Population'!69:69,1,MATCH(P$2,'USA Population'!$1:$1,0))/10^6</f>
        <v>64.116533984687905</v>
      </c>
      <c r="Q70" s="1">
        <f>INDEX('USA Population'!69:69,1,MATCH(Q$2,'USA Population'!$1:$1,0))/10^6</f>
        <v>47.994292752789804</v>
      </c>
      <c r="R70" s="1">
        <f>INDEX('USA Population'!69:69,1,MATCH(R$2,'USA Population'!$1:$1,0))/10^6</f>
        <v>55.083643851816696</v>
      </c>
      <c r="S70" s="1">
        <f>INDEX('USA Population'!69:69,1,MATCH(S$2,'USA Population'!$1:$1,0))/10^6</f>
        <v>111.379824108108</v>
      </c>
    </row>
    <row r="71" spans="1:19" x14ac:dyDescent="0.3">
      <c r="A71" s="54">
        <v>43497</v>
      </c>
      <c r="B71" s="55">
        <f t="shared" si="6"/>
        <v>2019</v>
      </c>
      <c r="C71" s="1">
        <v>386.07656509349073</v>
      </c>
      <c r="D71" s="1">
        <f>D70*(1+'Summary_Population World_USA'!$V$7)</f>
        <v>5384.0034498780033</v>
      </c>
      <c r="E71" s="1">
        <f>E70*(1+'Summary_Population World_USA'!$V$8)</f>
        <v>386.07656509349073</v>
      </c>
      <c r="F71" s="1">
        <f>INDEX('Worldwide Population'!70:70,1,MATCH(F$2,'Worldwide Population'!$1:$1,0))/10^6</f>
        <v>200.19725046719302</v>
      </c>
      <c r="G71" s="1">
        <f>INDEX('Worldwide Population'!70:70,1,MATCH(G$2,'Worldwide Population'!$1:$1,0))/10^6</f>
        <v>225.089736877532</v>
      </c>
      <c r="H71" s="1">
        <f>INDEX('Worldwide Population'!70:70,1,MATCH(H$2,'Worldwide Population'!$1:$1,0))/10^6</f>
        <v>145.29225127040601</v>
      </c>
      <c r="I71" s="1">
        <f>INDEX('Worldwide Population'!70:70,1,MATCH(I$2,'Worldwide Population'!$1:$1,0))/10^6</f>
        <v>192.00094190601899</v>
      </c>
      <c r="J71" s="1">
        <f>INDEX('Worldwide Population'!70:70,1,MATCH(J$2,'Worldwide Population'!$1:$1,0))/10^6</f>
        <v>355.52080221621605</v>
      </c>
      <c r="L71" s="1">
        <f t="shared" si="7"/>
        <v>88.797609971502879</v>
      </c>
      <c r="M71" s="1">
        <f t="shared" si="8"/>
        <v>973.63153246368245</v>
      </c>
      <c r="N71" s="1">
        <f t="shared" si="9"/>
        <v>44.277861170044801</v>
      </c>
      <c r="O71" s="1">
        <f>INDEX('USA Population'!70:70,1,MATCH(O$2,'USA Population'!$1:$1,0))/10^6</f>
        <v>66.679392967822409</v>
      </c>
      <c r="P71" s="1">
        <f>INDEX('USA Population'!70:70,1,MATCH(P$2,'USA Population'!$1:$1,0))/10^6</f>
        <v>64.158211991257403</v>
      </c>
      <c r="Q71" s="1">
        <f>INDEX('USA Population'!70:70,1,MATCH(Q$2,'USA Population'!$1:$1,0))/10^6</f>
        <v>48.015694261689198</v>
      </c>
      <c r="R71" s="1">
        <f>INDEX('USA Population'!70:70,1,MATCH(R$2,'USA Population'!$1:$1,0))/10^6</f>
        <v>55.092276416554199</v>
      </c>
      <c r="S71" s="1">
        <f>INDEX('USA Population'!70:70,1,MATCH(S$2,'USA Population'!$1:$1,0))/10^6</f>
        <v>112.35867075675701</v>
      </c>
    </row>
    <row r="72" spans="1:19" x14ac:dyDescent="0.3">
      <c r="A72" s="54">
        <v>43525</v>
      </c>
      <c r="B72" s="55">
        <f t="shared" si="6"/>
        <v>2019</v>
      </c>
      <c r="C72" s="1">
        <v>391.93904405604394</v>
      </c>
      <c r="D72" s="1">
        <f>D71*(1+'Summary_Population World_USA'!$V$7)</f>
        <v>5678.5360503016209</v>
      </c>
      <c r="E72" s="1">
        <f>E71*(1+'Summary_Population World_USA'!$V$8)</f>
        <v>391.93904405604394</v>
      </c>
      <c r="F72" s="1">
        <f>INDEX('Worldwide Population'!71:71,1,MATCH(F$2,'Worldwide Population'!$1:$1,0))/10^6</f>
        <v>200.617711307382</v>
      </c>
      <c r="G72" s="1">
        <f>INDEX('Worldwide Population'!71:71,1,MATCH(G$2,'Worldwide Population'!$1:$1,0))/10^6</f>
        <v>225.33579904746401</v>
      </c>
      <c r="H72" s="1">
        <f>INDEX('Worldwide Population'!71:71,1,MATCH(H$2,'Worldwide Population'!$1:$1,0))/10^6</f>
        <v>145.35041189851498</v>
      </c>
      <c r="I72" s="1">
        <f>INDEX('Worldwide Population'!71:71,1,MATCH(I$2,'Worldwide Population'!$1:$1,0))/10^6</f>
        <v>192.13413020231599</v>
      </c>
      <c r="J72" s="1">
        <f>INDEX('Worldwide Population'!71:71,1,MATCH(J$2,'Worldwide Population'!$1:$1,0))/10^6</f>
        <v>358.695336972973</v>
      </c>
      <c r="L72" s="1">
        <f t="shared" si="7"/>
        <v>90.145980132890116</v>
      </c>
      <c r="M72" s="1">
        <f t="shared" si="8"/>
        <v>1018.0534233444474</v>
      </c>
      <c r="N72" s="1">
        <f t="shared" si="9"/>
        <v>44.270077509243961</v>
      </c>
      <c r="O72" s="1">
        <f>INDEX('USA Population'!71:71,1,MATCH(O$2,'USA Population'!$1:$1,0))/10^6</f>
        <v>66.815828238290095</v>
      </c>
      <c r="P72" s="1">
        <f>INDEX('USA Population'!71:71,1,MATCH(P$2,'USA Population'!$1:$1,0))/10^6</f>
        <v>64.197940896353103</v>
      </c>
      <c r="Q72" s="1">
        <f>INDEX('USA Population'!71:71,1,MATCH(Q$2,'USA Population'!$1:$1,0))/10^6</f>
        <v>48.036667738070804</v>
      </c>
      <c r="R72" s="1">
        <f>INDEX('USA Population'!71:71,1,MATCH(R$2,'USA Population'!$1:$1,0))/10^6</f>
        <v>55.100367192122896</v>
      </c>
      <c r="S72" s="1">
        <f>INDEX('USA Population'!71:71,1,MATCH(S$2,'USA Population'!$1:$1,0))/10^6</f>
        <v>113.33751740540499</v>
      </c>
    </row>
    <row r="73" spans="1:19" x14ac:dyDescent="0.3">
      <c r="A73" s="54">
        <v>43556</v>
      </c>
      <c r="B73" s="55">
        <f t="shared" si="6"/>
        <v>2019</v>
      </c>
      <c r="C73" s="1">
        <v>397.89054333915988</v>
      </c>
      <c r="D73" s="1">
        <f>D72*(1+'Summary_Population World_USA'!$V$7)</f>
        <v>5989.1810944708423</v>
      </c>
      <c r="E73" s="1">
        <f>E72*(1+'Summary_Population World_USA'!$V$8)</f>
        <v>397.89054333915988</v>
      </c>
      <c r="F73" s="1">
        <f>INDEX('Worldwide Population'!72:72,1,MATCH(F$2,'Worldwide Population'!$1:$1,0))/10^6</f>
        <v>201.029762864437</v>
      </c>
      <c r="G73" s="1">
        <f>INDEX('Worldwide Population'!72:72,1,MATCH(G$2,'Worldwide Population'!$1:$1,0))/10^6</f>
        <v>225.57153793479202</v>
      </c>
      <c r="H73" s="1">
        <f>INDEX('Worldwide Population'!72:72,1,MATCH(H$2,'Worldwide Population'!$1:$1,0))/10^6</f>
        <v>145.40740929866601</v>
      </c>
      <c r="I73" s="1">
        <f>INDEX('Worldwide Population'!72:72,1,MATCH(I$2,'Worldwide Population'!$1:$1,0))/10^6</f>
        <v>192.261583079975</v>
      </c>
      <c r="J73" s="1">
        <f>INDEX('Worldwide Population'!72:72,1,MATCH(J$2,'Worldwide Population'!$1:$1,0))/10^6</f>
        <v>361.86987172972999</v>
      </c>
      <c r="L73" s="1">
        <f t="shared" si="7"/>
        <v>91.514824968006792</v>
      </c>
      <c r="M73" s="1">
        <f t="shared" si="8"/>
        <v>1064.5020608163272</v>
      </c>
      <c r="N73" s="1">
        <f t="shared" si="9"/>
        <v>44.262295216742629</v>
      </c>
      <c r="O73" s="1">
        <f>INDEX('USA Population'!72:72,1,MATCH(O$2,'USA Population'!$1:$1,0))/10^6</f>
        <v>66.949361629583294</v>
      </c>
      <c r="P73" s="1">
        <f>INDEX('USA Population'!72:72,1,MATCH(P$2,'USA Population'!$1:$1,0))/10^6</f>
        <v>64.235810712961893</v>
      </c>
      <c r="Q73" s="1">
        <f>INDEX('USA Population'!72:72,1,MATCH(Q$2,'USA Population'!$1:$1,0))/10^6</f>
        <v>48.057221742631704</v>
      </c>
      <c r="R73" s="1">
        <f>INDEX('USA Population'!72:72,1,MATCH(R$2,'USA Population'!$1:$1,0))/10^6</f>
        <v>55.107950120923697</v>
      </c>
      <c r="S73" s="1">
        <f>INDEX('USA Population'!72:72,1,MATCH(S$2,'USA Population'!$1:$1,0))/10^6</f>
        <v>114.31636405405401</v>
      </c>
    </row>
    <row r="74" spans="1:19" x14ac:dyDescent="0.3">
      <c r="A74" s="54">
        <v>43586</v>
      </c>
      <c r="B74" s="55">
        <f t="shared" si="6"/>
        <v>2019</v>
      </c>
      <c r="C74" s="1">
        <v>403.9324146948062</v>
      </c>
      <c r="D74" s="1">
        <f>D73*(1+'Summary_Population World_USA'!$V$7)</f>
        <v>6316.8200156907824</v>
      </c>
      <c r="E74" s="1">
        <f>E73*(1+'Summary_Population World_USA'!$V$8)</f>
        <v>403.9324146948062</v>
      </c>
      <c r="F74" s="1">
        <f>INDEX('Worldwide Population'!73:73,1,MATCH(F$2,'Worldwide Population'!$1:$1,0))/10^6</f>
        <v>201.433573325347</v>
      </c>
      <c r="G74" s="1">
        <f>INDEX('Worldwide Population'!73:73,1,MATCH(G$2,'Worldwide Population'!$1:$1,0))/10^6</f>
        <v>225.79737626527699</v>
      </c>
      <c r="H74" s="1">
        <f>INDEX('Worldwide Population'!73:73,1,MATCH(H$2,'Worldwide Population'!$1:$1,0))/10^6</f>
        <v>145.46326673572599</v>
      </c>
      <c r="I74" s="1">
        <f>INDEX('Worldwide Population'!73:73,1,MATCH(I$2,'Worldwide Population'!$1:$1,0))/10^6</f>
        <v>192.38354508072999</v>
      </c>
      <c r="J74" s="1">
        <f>INDEX('Worldwide Population'!73:73,1,MATCH(J$2,'Worldwide Population'!$1:$1,0))/10^6</f>
        <v>365.04440648648699</v>
      </c>
      <c r="L74" s="1">
        <f t="shared" si="7"/>
        <v>92.904455379805441</v>
      </c>
      <c r="M74" s="1">
        <f t="shared" si="8"/>
        <v>1113.0699150930643</v>
      </c>
      <c r="N74" s="1">
        <f t="shared" si="9"/>
        <v>44.254514292300264</v>
      </c>
      <c r="O74" s="1">
        <f>INDEX('USA Population'!73:73,1,MATCH(O$2,'USA Population'!$1:$1,0))/10^6</f>
        <v>67.080054862565603</v>
      </c>
      <c r="P74" s="1">
        <f>INDEX('USA Population'!73:73,1,MATCH(P$2,'USA Population'!$1:$1,0))/10^6</f>
        <v>64.271907402485496</v>
      </c>
      <c r="Q74" s="1">
        <f>INDEX('USA Population'!73:73,1,MATCH(Q$2,'USA Population'!$1:$1,0))/10^6</f>
        <v>48.077364664854201</v>
      </c>
      <c r="R74" s="1">
        <f>INDEX('USA Population'!73:73,1,MATCH(R$2,'USA Population'!$1:$1,0))/10^6</f>
        <v>55.115057026328401</v>
      </c>
      <c r="S74" s="1">
        <f>INDEX('USA Population'!73:73,1,MATCH(S$2,'USA Population'!$1:$1,0))/10^6</f>
        <v>115.295210702703</v>
      </c>
    </row>
    <row r="75" spans="1:19" x14ac:dyDescent="0.3">
      <c r="A75" s="54">
        <v>43617</v>
      </c>
      <c r="B75" s="55">
        <f t="shared" si="6"/>
        <v>2019</v>
      </c>
      <c r="C75" s="1">
        <v>410.06603040097622</v>
      </c>
      <c r="D75" s="1">
        <f>D74*(1+'Summary_Population World_USA'!$V$7)</f>
        <v>6662.3824661887511</v>
      </c>
      <c r="E75" s="1">
        <f>E74*(1+'Summary_Population World_USA'!$V$8)</f>
        <v>410.06603040097622</v>
      </c>
      <c r="F75" s="1">
        <f>INDEX('Worldwide Population'!74:74,1,MATCH(F$2,'Worldwide Population'!$1:$1,0))/10^6</f>
        <v>201.829307513336</v>
      </c>
      <c r="G75" s="1">
        <f>INDEX('Worldwide Population'!74:74,1,MATCH(G$2,'Worldwide Population'!$1:$1,0))/10^6</f>
        <v>226.01372032894201</v>
      </c>
      <c r="H75" s="1">
        <f>INDEX('Worldwide Population'!74:74,1,MATCH(H$2,'Worldwide Population'!$1:$1,0))/10^6</f>
        <v>145.51800700925699</v>
      </c>
      <c r="I75" s="1">
        <f>INDEX('Worldwide Population'!74:74,1,MATCH(I$2,'Worldwide Population'!$1:$1,0))/10^6</f>
        <v>192.50025052848699</v>
      </c>
      <c r="J75" s="1">
        <f>INDEX('Worldwide Population'!74:74,1,MATCH(J$2,'Worldwide Population'!$1:$1,0))/10^6</f>
        <v>368.21894124324297</v>
      </c>
      <c r="L75" s="1">
        <f t="shared" si="7"/>
        <v>94.31518699222454</v>
      </c>
      <c r="M75" s="1">
        <f t="shared" si="8"/>
        <v>1163.8536753373646</v>
      </c>
      <c r="N75" s="1">
        <f t="shared" si="9"/>
        <v>44.246734735676377</v>
      </c>
      <c r="O75" s="1">
        <f>INDEX('USA Population'!74:74,1,MATCH(O$2,'USA Population'!$1:$1,0))/10^6</f>
        <v>67.207968345342991</v>
      </c>
      <c r="P75" s="1">
        <f>INDEX('USA Population'!74:74,1,MATCH(P$2,'USA Population'!$1:$1,0))/10^6</f>
        <v>64.306313047280995</v>
      </c>
      <c r="Q75" s="1">
        <f>INDEX('USA Population'!74:74,1,MATCH(Q$2,'USA Population'!$1:$1,0))/10^6</f>
        <v>48.097104726429905</v>
      </c>
      <c r="R75" s="1">
        <f>INDEX('USA Population'!74:74,1,MATCH(R$2,'USA Population'!$1:$1,0))/10^6</f>
        <v>55.121717744065599</v>
      </c>
      <c r="S75" s="1">
        <f>INDEX('USA Population'!74:74,1,MATCH(S$2,'USA Population'!$1:$1,0))/10^6</f>
        <v>116.27405735135099</v>
      </c>
    </row>
    <row r="76" spans="1:19" x14ac:dyDescent="0.3">
      <c r="A76" s="54">
        <v>43647</v>
      </c>
      <c r="B76" s="55">
        <f t="shared" si="6"/>
        <v>2019</v>
      </c>
      <c r="C76" s="1">
        <v>416.29278357337165</v>
      </c>
      <c r="D76" s="1">
        <f>D75*(1+'Summary_Population World_USA'!$V$7)</f>
        <v>7026.8489549365895</v>
      </c>
      <c r="E76" s="1">
        <f>E75*(1+'Summary_Population World_USA'!$V$8)</f>
        <v>416.29278357337165</v>
      </c>
      <c r="F76" s="1">
        <f>INDEX('Worldwide Population'!75:75,1,MATCH(F$2,'Worldwide Population'!$1:$1,0))/10^6</f>
        <v>202.217126955135</v>
      </c>
      <c r="G76" s="1">
        <f>INDEX('Worldwide Population'!75:75,1,MATCH(G$2,'Worldwide Population'!$1:$1,0))/10^6</f>
        <v>226.22096054437802</v>
      </c>
      <c r="H76" s="1">
        <f>INDEX('Worldwide Population'!75:75,1,MATCH(H$2,'Worldwide Population'!$1:$1,0))/10^6</f>
        <v>145.57165246282801</v>
      </c>
      <c r="I76" s="1">
        <f>INDEX('Worldwide Population'!75:75,1,MATCH(I$2,'Worldwide Population'!$1:$1,0))/10^6</f>
        <v>192.61192393826499</v>
      </c>
      <c r="J76" s="1">
        <f>INDEX('Worldwide Population'!75:75,1,MATCH(J$2,'Worldwide Population'!$1:$1,0))/10^6</f>
        <v>371.39347600000002</v>
      </c>
      <c r="L76" s="1">
        <f t="shared" si="7"/>
        <v>95.74734022187549</v>
      </c>
      <c r="M76" s="1">
        <f t="shared" si="8"/>
        <v>1216.9544421502371</v>
      </c>
      <c r="N76" s="1">
        <f t="shared" si="9"/>
        <v>44.238956546630511</v>
      </c>
      <c r="O76" s="1">
        <f>INDEX('USA Population'!75:75,1,MATCH(O$2,'USA Population'!$1:$1,0))/10^6</f>
        <v>67.333161201184595</v>
      </c>
      <c r="P76" s="1">
        <f>INDEX('USA Population'!75:75,1,MATCH(P$2,'USA Population'!$1:$1,0))/10^6</f>
        <v>64.339106016786204</v>
      </c>
      <c r="Q76" s="1">
        <f>INDEX('USA Population'!75:75,1,MATCH(Q$2,'USA Population'!$1:$1,0))/10^6</f>
        <v>48.116449984615898</v>
      </c>
      <c r="R76" s="1">
        <f>INDEX('USA Population'!75:75,1,MATCH(R$2,'USA Population'!$1:$1,0))/10^6</f>
        <v>55.127960245571799</v>
      </c>
      <c r="S76" s="1">
        <f>INDEX('USA Population'!75:75,1,MATCH(S$2,'USA Population'!$1:$1,0))/10^6</f>
        <v>117.252904</v>
      </c>
    </row>
    <row r="77" spans="1:19" x14ac:dyDescent="0.3">
      <c r="A77" s="54">
        <v>43678</v>
      </c>
      <c r="B77" s="55">
        <f t="shared" si="6"/>
        <v>2019</v>
      </c>
      <c r="C77" s="1">
        <v>422.61408848181804</v>
      </c>
      <c r="D77" s="1">
        <f>D76*(1+'Summary_Population World_USA'!$V$7)</f>
        <v>7411.2536297754123</v>
      </c>
      <c r="E77" s="1">
        <f>E76*(1+'Summary_Population World_USA'!$V$8)</f>
        <v>422.61408848181804</v>
      </c>
      <c r="F77" s="1">
        <f>INDEX('Worldwide Population'!76:76,1,MATCH(F$2,'Worldwide Population'!$1:$1,0))/10^6</f>
        <v>202.59718994691698</v>
      </c>
      <c r="G77" s="1">
        <f>INDEX('Worldwide Population'!76:76,1,MATCH(G$2,'Worldwide Population'!$1:$1,0))/10^6</f>
        <v>226.41947201031499</v>
      </c>
      <c r="H77" s="1">
        <f>INDEX('Worldwide Population'!76:76,1,MATCH(H$2,'Worldwide Population'!$1:$1,0))/10^6</f>
        <v>145.624224993127</v>
      </c>
      <c r="I77" s="1">
        <f>INDEX('Worldwide Population'!76:76,1,MATCH(I$2,'Worldwide Population'!$1:$1,0))/10^6</f>
        <v>192.71878041034799</v>
      </c>
      <c r="J77" s="1">
        <f>INDEX('Worldwide Population'!76:76,1,MATCH(J$2,'Worldwide Population'!$1:$1,0))/10^6</f>
        <v>374.56801075675702</v>
      </c>
      <c r="L77" s="1">
        <f t="shared" si="7"/>
        <v>97.201240350818168</v>
      </c>
      <c r="M77" s="1">
        <f t="shared" si="8"/>
        <v>1272.4779288426491</v>
      </c>
      <c r="N77" s="1">
        <f t="shared" si="9"/>
        <v>44.231179724922264</v>
      </c>
      <c r="O77" s="1">
        <f>INDEX('USA Population'!76:76,1,MATCH(O$2,'USA Population'!$1:$1,0))/10^6</f>
        <v>67.455691295850698</v>
      </c>
      <c r="P77" s="1">
        <f>INDEX('USA Population'!76:76,1,MATCH(P$2,'USA Population'!$1:$1,0))/10^6</f>
        <v>64.370361127375702</v>
      </c>
      <c r="Q77" s="1">
        <f>INDEX('USA Population'!76:76,1,MATCH(Q$2,'USA Population'!$1:$1,0))/10^6</f>
        <v>48.135408335523202</v>
      </c>
      <c r="R77" s="1">
        <f>INDEX('USA Population'!76:76,1,MATCH(R$2,'USA Population'!$1:$1,0))/10^6</f>
        <v>55.1338107537836</v>
      </c>
      <c r="S77" s="1">
        <f>INDEX('USA Population'!76:76,1,MATCH(S$2,'USA Population'!$1:$1,0))/10^6</f>
        <v>118.23175064864901</v>
      </c>
    </row>
    <row r="78" spans="1:19" x14ac:dyDescent="0.3">
      <c r="A78" s="54">
        <v>43709</v>
      </c>
      <c r="B78" s="55">
        <f t="shared" si="6"/>
        <v>2019</v>
      </c>
      <c r="C78" s="1">
        <v>429.03138087148511</v>
      </c>
      <c r="D78" s="1">
        <f>D77*(1+'Summary_Population World_USA'!$V$7)</f>
        <v>7816.6872117368403</v>
      </c>
      <c r="E78" s="1">
        <f>E77*(1+'Summary_Population World_USA'!$V$8)</f>
        <v>429.03138087148511</v>
      </c>
      <c r="F78" s="1">
        <f>INDEX('Worldwide Population'!77:77,1,MATCH(F$2,'Worldwide Population'!$1:$1,0))/10^6</f>
        <v>202.96965161890699</v>
      </c>
      <c r="G78" s="1">
        <f>INDEX('Worldwide Population'!77:77,1,MATCH(G$2,'Worldwide Population'!$1:$1,0))/10^6</f>
        <v>226.60961504407399</v>
      </c>
      <c r="H78" s="1">
        <f>INDEX('Worldwide Population'!77:77,1,MATCH(H$2,'Worldwide Population'!$1:$1,0))/10^6</f>
        <v>145.67574605890201</v>
      </c>
      <c r="I78" s="1">
        <f>INDEX('Worldwide Population'!77:77,1,MATCH(I$2,'Worldwide Population'!$1:$1,0))/10^6</f>
        <v>192.821026010042</v>
      </c>
      <c r="J78" s="1">
        <f>INDEX('Worldwide Population'!77:77,1,MATCH(J$2,'Worldwide Population'!$1:$1,0))/10^6</f>
        <v>377.74254551351396</v>
      </c>
      <c r="L78" s="1">
        <f t="shared" si="7"/>
        <v>98.677217600441594</v>
      </c>
      <c r="M78" s="1">
        <f t="shared" si="8"/>
        <v>1330.5346718901926</v>
      </c>
      <c r="N78" s="1">
        <f t="shared" si="9"/>
        <v>44.223404270311271</v>
      </c>
      <c r="O78" s="1">
        <f>INDEX('USA Population'!77:77,1,MATCH(O$2,'USA Population'!$1:$1,0))/10^6</f>
        <v>67.575615264338708</v>
      </c>
      <c r="P78" s="1">
        <f>INDEX('USA Population'!77:77,1,MATCH(P$2,'USA Population'!$1:$1,0))/10^6</f>
        <v>64.400149796101502</v>
      </c>
      <c r="Q78" s="1">
        <f>INDEX('USA Population'!77:77,1,MATCH(Q$2,'USA Population'!$1:$1,0))/10^6</f>
        <v>48.153987517339601</v>
      </c>
      <c r="R78" s="1">
        <f>INDEX('USA Population'!77:77,1,MATCH(R$2,'USA Population'!$1:$1,0))/10^6</f>
        <v>55.139293851823801</v>
      </c>
      <c r="S78" s="1">
        <f>INDEX('USA Population'!77:77,1,MATCH(S$2,'USA Population'!$1:$1,0))/10^6</f>
        <v>119.210597297297</v>
      </c>
    </row>
    <row r="79" spans="1:19" x14ac:dyDescent="0.3">
      <c r="A79" s="54">
        <v>43739</v>
      </c>
      <c r="B79" s="55">
        <f t="shared" si="6"/>
        <v>2019</v>
      </c>
      <c r="C79" s="1">
        <v>435.54611828898459</v>
      </c>
      <c r="D79" s="1">
        <f>D78*(1+'Summary_Population World_USA'!$V$7)</f>
        <v>8244.3000898866594</v>
      </c>
      <c r="E79" s="1">
        <f>E78*(1+'Summary_Population World_USA'!$V$8)</f>
        <v>435.54611828898459</v>
      </c>
      <c r="F79" s="1">
        <f>INDEX('Worldwide Population'!78:78,1,MATCH(F$2,'Worldwide Population'!$1:$1,0))/10^6</f>
        <v>203.33466399869801</v>
      </c>
      <c r="G79" s="1">
        <f>INDEX('Worldwide Population'!78:78,1,MATCH(G$2,'Worldwide Population'!$1:$1,0))/10^6</f>
        <v>226.79173570662999</v>
      </c>
      <c r="H79" s="1">
        <f>INDEX('Worldwide Population'!78:78,1,MATCH(H$2,'Worldwide Population'!$1:$1,0))/10^6</f>
        <v>145.726236689724</v>
      </c>
      <c r="I79" s="1">
        <f>INDEX('Worldwide Population'!78:78,1,MATCH(I$2,'Worldwide Population'!$1:$1,0))/10^6</f>
        <v>192.91885813342699</v>
      </c>
      <c r="J79" s="1">
        <f>INDEX('Worldwide Population'!78:78,1,MATCH(J$2,'Worldwide Population'!$1:$1,0))/10^6</f>
        <v>380.91708027026999</v>
      </c>
      <c r="L79" s="1">
        <f t="shared" si="7"/>
        <v>100.17560720646647</v>
      </c>
      <c r="M79" s="1">
        <f t="shared" si="8"/>
        <v>1391.2402509897327</v>
      </c>
      <c r="N79" s="1">
        <f t="shared" si="9"/>
        <v>44.215630182557206</v>
      </c>
      <c r="O79" s="1">
        <f>INDEX('USA Population'!78:78,1,MATCH(O$2,'USA Population'!$1:$1,0))/10^6</f>
        <v>67.692988537060899</v>
      </c>
      <c r="P79" s="1">
        <f>INDEX('USA Population'!78:78,1,MATCH(P$2,'USA Population'!$1:$1,0))/10^6</f>
        <v>64.428540188474997</v>
      </c>
      <c r="Q79" s="1">
        <f>INDEX('USA Population'!78:78,1,MATCH(Q$2,'USA Population'!$1:$1,0))/10^6</f>
        <v>48.1721951134883</v>
      </c>
      <c r="R79" s="1">
        <f>INDEX('USA Population'!78:78,1,MATCH(R$2,'USA Population'!$1:$1,0))/10^6</f>
        <v>55.144432585007102</v>
      </c>
      <c r="S79" s="1">
        <f>INDEX('USA Population'!78:78,1,MATCH(S$2,'USA Population'!$1:$1,0))/10^6</f>
        <v>120.189443945946</v>
      </c>
    </row>
    <row r="80" spans="1:19" x14ac:dyDescent="0.3">
      <c r="A80" s="54">
        <v>43770</v>
      </c>
      <c r="B80" s="55">
        <f t="shared" si="6"/>
        <v>2019</v>
      </c>
      <c r="C80" s="1">
        <v>442.15978041341981</v>
      </c>
      <c r="D80" s="1">
        <f>D79*(1+'Summary_Population World_USA'!$V$7)</f>
        <v>8695.3055854722916</v>
      </c>
      <c r="E80" s="1">
        <f>E79*(1+'Summary_Population World_USA'!$V$8)</f>
        <v>442.15978041341981</v>
      </c>
      <c r="F80" s="1">
        <f>INDEX('Worldwide Population'!79:79,1,MATCH(F$2,'Worldwide Population'!$1:$1,0))/10^6</f>
        <v>203.69237607331101</v>
      </c>
      <c r="G80" s="1">
        <f>INDEX('Worldwide Population'!79:79,1,MATCH(G$2,'Worldwide Population'!$1:$1,0))/10^6</f>
        <v>226.96616631407801</v>
      </c>
      <c r="H80" s="1">
        <f>INDEX('Worldwide Population'!79:79,1,MATCH(H$2,'Worldwide Population'!$1:$1,0))/10^6</f>
        <v>145.77571749456303</v>
      </c>
      <c r="I80" s="1">
        <f>INDEX('Worldwide Population'!79:79,1,MATCH(I$2,'Worldwide Population'!$1:$1,0))/10^6</f>
        <v>193.012465859504</v>
      </c>
      <c r="J80" s="1">
        <f>INDEX('Worldwide Population'!79:79,1,MATCH(J$2,'Worldwide Population'!$1:$1,0))/10^6</f>
        <v>384.09161502702699</v>
      </c>
      <c r="L80" s="1">
        <f t="shared" si="7"/>
        <v>101.69674949508658</v>
      </c>
      <c r="M80" s="1">
        <f t="shared" si="8"/>
        <v>1454.7155191561314</v>
      </c>
      <c r="N80" s="1">
        <f t="shared" si="9"/>
        <v>44.207857461419785</v>
      </c>
      <c r="O80" s="1">
        <f>INDEX('USA Population'!79:79,1,MATCH(O$2,'USA Population'!$1:$1,0))/10^6</f>
        <v>67.807865365465005</v>
      </c>
      <c r="P80" s="1">
        <f>INDEX('USA Population'!79:79,1,MATCH(P$2,'USA Population'!$1:$1,0))/10^6</f>
        <v>64.4555973604553</v>
      </c>
      <c r="Q80" s="1">
        <f>INDEX('USA Population'!79:79,1,MATCH(Q$2,'USA Population'!$1:$1,0))/10^6</f>
        <v>48.190038555723397</v>
      </c>
      <c r="R80" s="1">
        <f>INDEX('USA Population'!79:79,1,MATCH(R$2,'USA Population'!$1:$1,0))/10^6</f>
        <v>55.149248556564899</v>
      </c>
      <c r="S80" s="1">
        <f>INDEX('USA Population'!79:79,1,MATCH(S$2,'USA Population'!$1:$1,0))/10^6</f>
        <v>121.16829059459501</v>
      </c>
    </row>
    <row r="81" spans="1:19" x14ac:dyDescent="0.3">
      <c r="A81" s="54">
        <v>43800</v>
      </c>
      <c r="B81" s="55">
        <f t="shared" si="6"/>
        <v>2019</v>
      </c>
      <c r="C81" s="1">
        <v>448.87386939246238</v>
      </c>
      <c r="D81" s="1">
        <f>D80*(1+'Summary_Population World_USA'!$V$7)</f>
        <v>9170.9833946358776</v>
      </c>
      <c r="E81" s="1">
        <f>E80*(1+'Summary_Population World_USA'!$V$8)</f>
        <v>448.87386939246238</v>
      </c>
      <c r="F81" s="1">
        <f>INDEX('Worldwide Population'!80:80,1,MATCH(F$2,'Worldwide Population'!$1:$1,0))/10^6</f>
        <v>204.04293385</v>
      </c>
      <c r="G81" s="1">
        <f>INDEX('Worldwide Population'!80:80,1,MATCH(G$2,'Worldwide Population'!$1:$1,0))/10^6</f>
        <v>227.13322593536401</v>
      </c>
      <c r="H81" s="1">
        <f>INDEX('Worldwide Population'!80:80,1,MATCH(H$2,'Worldwide Population'!$1:$1,0))/10^6</f>
        <v>145.82420867020699</v>
      </c>
      <c r="I81" s="1">
        <f>INDEX('Worldwide Population'!80:80,1,MATCH(I$2,'Worldwide Population'!$1:$1,0))/10^6</f>
        <v>193.102030289136</v>
      </c>
      <c r="J81" s="1">
        <f>INDEX('Worldwide Population'!80:80,1,MATCH(J$2,'Worldwide Population'!$1:$1,0))/10^6</f>
        <v>387.26614978378399</v>
      </c>
      <c r="L81" s="1">
        <f t="shared" si="7"/>
        <v>103.24098996026636</v>
      </c>
      <c r="M81" s="1">
        <f t="shared" si="8"/>
        <v>1521.086843317122</v>
      </c>
      <c r="N81" s="1">
        <f t="shared" si="9"/>
        <v>44.200086106658766</v>
      </c>
      <c r="O81" s="1">
        <f>INDEX('USA Population'!80:80,1,MATCH(O$2,'USA Population'!$1:$1,0))/10^6</f>
        <v>67.920298847109407</v>
      </c>
      <c r="P81" s="1">
        <f>INDEX('USA Population'!80:80,1,MATCH(P$2,'USA Population'!$1:$1,0))/10^6</f>
        <v>64.481383394807096</v>
      </c>
      <c r="Q81" s="1">
        <f>INDEX('USA Population'!80:80,1,MATCH(Q$2,'USA Population'!$1:$1,0))/10^6</f>
        <v>48.207525127163002</v>
      </c>
      <c r="R81" s="1">
        <f>INDEX('USA Population'!80:80,1,MATCH(R$2,'USA Population'!$1:$1,0))/10^6</f>
        <v>55.153762017470399</v>
      </c>
      <c r="S81" s="1">
        <f>INDEX('USA Population'!80:80,1,MATCH(S$2,'USA Population'!$1:$1,0))/10^6</f>
        <v>122.14713724324299</v>
      </c>
    </row>
    <row r="82" spans="1:19" x14ac:dyDescent="0.3">
      <c r="A82" s="54">
        <v>43831</v>
      </c>
      <c r="B82" s="55">
        <f t="shared" si="6"/>
        <v>2020</v>
      </c>
      <c r="C82" s="1">
        <v>455.68991018353171</v>
      </c>
      <c r="D82" s="1">
        <f>D81*(1+'Summary_Population World_USA'!$V$7)</f>
        <v>9672.6832194614217</v>
      </c>
      <c r="E82" s="1">
        <f>E81*(1+'Summary_Population World_USA'!$V$8)</f>
        <v>455.68991018353171</v>
      </c>
      <c r="F82" s="1">
        <f>INDEX('Worldwide Population'!81:81,1,MATCH(F$2,'Worldwide Population'!$1:$1,0))/10^6</f>
        <v>204.38648041585299</v>
      </c>
      <c r="G82" s="1">
        <f>INDEX('Worldwide Population'!81:81,1,MATCH(G$2,'Worldwide Population'!$1:$1,0))/10^6</f>
        <v>227.29322087622899</v>
      </c>
      <c r="H82" s="1">
        <f>INDEX('Worldwide Population'!81:81,1,MATCH(H$2,'Worldwide Population'!$1:$1,0))/10^6</f>
        <v>145.87173000950199</v>
      </c>
      <c r="I82" s="1">
        <f>INDEX('Worldwide Population'!81:81,1,MATCH(I$2,'Worldwide Population'!$1:$1,0))/10^6</f>
        <v>193.187724871174</v>
      </c>
      <c r="J82" s="1">
        <f>INDEX('Worldwide Population'!81:81,1,MATCH(J$2,'Worldwide Population'!$1:$1,0))/10^6</f>
        <v>390.44068454054099</v>
      </c>
      <c r="L82" s="1">
        <f t="shared" si="7"/>
        <v>97.213847505820112</v>
      </c>
      <c r="M82" s="1">
        <f t="shared" si="8"/>
        <v>1590.4863558853131</v>
      </c>
      <c r="N82" s="1">
        <f t="shared" si="9"/>
        <v>44.192316118033958</v>
      </c>
      <c r="O82" s="1">
        <f>INDEX('USA Population'!81:81,1,MATCH(O$2,'USA Population'!$1:$1,0))/10^6</f>
        <v>68.030340950206394</v>
      </c>
      <c r="P82" s="1">
        <f>INDEX('USA Population'!81:81,1,MATCH(P$2,'USA Population'!$1:$1,0))/10^6</f>
        <v>64.505957531997396</v>
      </c>
      <c r="Q82" s="1">
        <f>INDEX('USA Population'!81:81,1,MATCH(Q$2,'USA Population'!$1:$1,0))/10^6</f>
        <v>48.224661965261902</v>
      </c>
      <c r="R82" s="1">
        <f>INDEX('USA Population'!81:81,1,MATCH(R$2,'USA Population'!$1:$1,0))/10^6</f>
        <v>55.1579919507193</v>
      </c>
      <c r="S82" s="1">
        <f>INDEX('USA Population'!81:81,1,MATCH(S$2,'USA Population'!$1:$1,0))/10^6</f>
        <v>123.12598389189201</v>
      </c>
    </row>
    <row r="83" spans="1:19" x14ac:dyDescent="0.3">
      <c r="A83" s="54">
        <v>43862</v>
      </c>
      <c r="B83" s="55">
        <f t="shared" si="6"/>
        <v>2020</v>
      </c>
      <c r="C83" s="1">
        <v>462.60945090015559</v>
      </c>
      <c r="D83" s="1">
        <f>D82*(1+'Summary_Population World_USA'!$V$7)</f>
        <v>10201.828597658832</v>
      </c>
      <c r="E83" s="1">
        <f>E82*(1+'Summary_Population World_USA'!$V$8)</f>
        <v>462.60945090015559</v>
      </c>
      <c r="F83" s="1">
        <f>INDEX('Worldwide Population'!82:82,1,MATCH(F$2,'Worldwide Population'!$1:$1,0))/10^6</f>
        <v>204.72315599619202</v>
      </c>
      <c r="G83" s="1">
        <f>INDEX('Worldwide Population'!82:82,1,MATCH(G$2,'Worldwide Population'!$1:$1,0))/10^6</f>
        <v>227.44644514931801</v>
      </c>
      <c r="H83" s="1">
        <f>INDEX('Worldwide Population'!82:82,1,MATCH(H$2,'Worldwide Population'!$1:$1,0))/10^6</f>
        <v>145.91830090943199</v>
      </c>
      <c r="I83" s="1">
        <f>INDEX('Worldwide Population'!82:82,1,MATCH(I$2,'Worldwide Population'!$1:$1,0))/10^6</f>
        <v>193.26971571617202</v>
      </c>
      <c r="J83" s="1">
        <f>INDEX('Worldwide Population'!82:82,1,MATCH(J$2,'Worldwide Population'!$1:$1,0))/10^6</f>
        <v>393.61521929729702</v>
      </c>
      <c r="L83" s="1">
        <f t="shared" si="7"/>
        <v>98.690016192033212</v>
      </c>
      <c r="M83" s="1">
        <f t="shared" si="8"/>
        <v>1663.0522178081533</v>
      </c>
      <c r="N83" s="1">
        <f t="shared" si="9"/>
        <v>44.184547495305203</v>
      </c>
      <c r="O83" s="1">
        <f>INDEX('USA Population'!82:82,1,MATCH(O$2,'USA Population'!$1:$1,0))/10^6</f>
        <v>68.138042537641894</v>
      </c>
      <c r="P83" s="1">
        <f>INDEX('USA Population'!82:82,1,MATCH(P$2,'USA Population'!$1:$1,0))/10^6</f>
        <v>64.5293762957984</v>
      </c>
      <c r="Q83" s="1">
        <f>INDEX('USA Population'!82:82,1,MATCH(Q$2,'USA Population'!$1:$1,0))/10^6</f>
        <v>48.241456064725305</v>
      </c>
      <c r="R83" s="1">
        <f>INDEX('USA Population'!82:82,1,MATCH(R$2,'USA Population'!$1:$1,0))/10^6</f>
        <v>55.161956150401195</v>
      </c>
      <c r="S83" s="1">
        <f>INDEX('USA Population'!82:82,1,MATCH(S$2,'USA Population'!$1:$1,0))/10^6</f>
        <v>124.10483054054099</v>
      </c>
    </row>
    <row r="84" spans="1:19" x14ac:dyDescent="0.3">
      <c r="A84" s="54">
        <v>43891</v>
      </c>
      <c r="B84" s="55">
        <f t="shared" si="6"/>
        <v>2020</v>
      </c>
      <c r="C84" s="1">
        <v>469.63406316359021</v>
      </c>
      <c r="D84" s="1">
        <f>D83*(1+'Summary_Population World_USA'!$V$7)</f>
        <v>10759.920941751325</v>
      </c>
      <c r="E84" s="1">
        <f>E83*(1+'Summary_Population World_USA'!$V$8)</f>
        <v>469.63406316359021</v>
      </c>
      <c r="F84" s="1">
        <f>INDEX('Worldwide Population'!83:83,1,MATCH(F$2,'Worldwide Population'!$1:$1,0))/10^6</f>
        <v>205.05309801181201</v>
      </c>
      <c r="G84" s="1">
        <f>INDEX('Worldwide Population'!83:83,1,MATCH(G$2,'Worldwide Population'!$1:$1,0))/10^6</f>
        <v>227.59318093051101</v>
      </c>
      <c r="H84" s="1">
        <f>INDEX('Worldwide Population'!83:83,1,MATCH(H$2,'Worldwide Population'!$1:$1,0))/10^6</f>
        <v>145.963940379034</v>
      </c>
      <c r="I84" s="1">
        <f>INDEX('Worldwide Population'!83:83,1,MATCH(I$2,'Worldwide Population'!$1:$1,0))/10^6</f>
        <v>193.348161898071</v>
      </c>
      <c r="J84" s="1">
        <f>INDEX('Worldwide Population'!83:83,1,MATCH(J$2,'Worldwide Population'!$1:$1,0))/10^6</f>
        <v>396.78975405405401</v>
      </c>
      <c r="L84" s="1">
        <f t="shared" si="7"/>
        <v>100.18860014156593</v>
      </c>
      <c r="M84" s="1">
        <f t="shared" si="8"/>
        <v>1738.9288936195373</v>
      </c>
      <c r="N84" s="1">
        <f t="shared" si="9"/>
        <v>44.176780238232396</v>
      </c>
      <c r="O84" s="1">
        <f>INDEX('USA Population'!83:83,1,MATCH(O$2,'USA Population'!$1:$1,0))/10^6</f>
        <v>68.2434533904853</v>
      </c>
      <c r="P84" s="1">
        <f>INDEX('USA Population'!83:83,1,MATCH(P$2,'USA Population'!$1:$1,0))/10^6</f>
        <v>64.551693613766204</v>
      </c>
      <c r="Q84" s="1">
        <f>INDEX('USA Population'!83:83,1,MATCH(Q$2,'USA Population'!$1:$1,0))/10^6</f>
        <v>48.257914280363202</v>
      </c>
      <c r="R84" s="1">
        <f>INDEX('USA Population'!83:83,1,MATCH(R$2,'USA Population'!$1:$1,0))/10^6</f>
        <v>55.165671295879903</v>
      </c>
      <c r="S84" s="1">
        <f>INDEX('USA Population'!83:83,1,MATCH(S$2,'USA Population'!$1:$1,0))/10^6</f>
        <v>125.083677189189</v>
      </c>
    </row>
    <row r="85" spans="1:19" x14ac:dyDescent="0.3">
      <c r="A85" s="54">
        <v>43922</v>
      </c>
      <c r="B85" s="55">
        <f t="shared" si="6"/>
        <v>2020</v>
      </c>
      <c r="C85" s="1">
        <v>476.76534245977911</v>
      </c>
      <c r="D85" s="1">
        <f>D84*(1+'Summary_Population World_USA'!$V$7)</f>
        <v>11348.543799227087</v>
      </c>
      <c r="E85" s="1">
        <f>E84*(1+'Summary_Population World_USA'!$V$8)</f>
        <v>476.76534245977911</v>
      </c>
      <c r="F85" s="1">
        <f>INDEX('Worldwide Population'!84:84,1,MATCH(F$2,'Worldwide Population'!$1:$1,0))/10^6</f>
        <v>205.37644113506801</v>
      </c>
      <c r="G85" s="1">
        <f>INDEX('Worldwide Population'!84:84,1,MATCH(G$2,'Worldwide Population'!$1:$1,0))/10^6</f>
        <v>227.73369900154199</v>
      </c>
      <c r="H85" s="1">
        <f>INDEX('Worldwide Population'!84:84,1,MATCH(H$2,'Worldwide Population'!$1:$1,0))/10^6</f>
        <v>146.00866704716302</v>
      </c>
      <c r="I85" s="1">
        <f>INDEX('Worldwide Population'!84:84,1,MATCH(I$2,'Worldwide Population'!$1:$1,0))/10^6</f>
        <v>193.42321574424099</v>
      </c>
      <c r="J85" s="1">
        <f>INDEX('Worldwide Population'!84:84,1,MATCH(J$2,'Worldwide Population'!$1:$1,0))/10^6</f>
        <v>399.96428881081096</v>
      </c>
      <c r="L85" s="1">
        <f t="shared" si="7"/>
        <v>101.7099397247529</v>
      </c>
      <c r="M85" s="1">
        <f t="shared" si="8"/>
        <v>1818.2674390406285</v>
      </c>
      <c r="N85" s="1">
        <f t="shared" si="9"/>
        <v>44.169014346575459</v>
      </c>
      <c r="O85" s="1">
        <f>INDEX('USA Population'!84:84,1,MATCH(O$2,'USA Population'!$1:$1,0))/10^6</f>
        <v>68.34662223099869</v>
      </c>
      <c r="P85" s="1">
        <f>INDEX('USA Population'!84:84,1,MATCH(P$2,'USA Population'!$1:$1,0))/10^6</f>
        <v>64.572960932761603</v>
      </c>
      <c r="Q85" s="1">
        <f>INDEX('USA Population'!84:84,1,MATCH(Q$2,'USA Population'!$1:$1,0))/10^6</f>
        <v>48.274043329888997</v>
      </c>
      <c r="R85" s="1">
        <f>INDEX('USA Population'!84:84,1,MATCH(R$2,'USA Population'!$1:$1,0))/10^6</f>
        <v>55.169153021379699</v>
      </c>
      <c r="S85" s="1">
        <f>INDEX('USA Population'!84:84,1,MATCH(S$2,'USA Population'!$1:$1,0))/10^6</f>
        <v>126.062523837838</v>
      </c>
    </row>
    <row r="86" spans="1:19" x14ac:dyDescent="0.3">
      <c r="A86" s="54">
        <v>43952</v>
      </c>
      <c r="B86" s="55">
        <f t="shared" si="6"/>
        <v>2020</v>
      </c>
      <c r="C86" s="1">
        <v>484.0049085017327</v>
      </c>
      <c r="D86" s="1">
        <f>D85*(1+'Summary_Population World_USA'!$V$7)</f>
        <v>11969.367345743092</v>
      </c>
      <c r="E86" s="1">
        <f>E85*(1+'Summary_Population World_USA'!$V$8)</f>
        <v>484.0049085017327</v>
      </c>
      <c r="F86" s="1">
        <f>INDEX('Worldwide Population'!85:85,1,MATCH(F$2,'Worldwide Population'!$1:$1,0))/10^6</f>
        <v>205.69331734485098</v>
      </c>
      <c r="G86" s="1">
        <f>INDEX('Worldwide Population'!85:85,1,MATCH(G$2,'Worldwide Population'!$1:$1,0))/10^6</f>
        <v>227.86825917901302</v>
      </c>
      <c r="H86" s="1">
        <f>INDEX('Worldwide Population'!85:85,1,MATCH(H$2,'Worldwide Population'!$1:$1,0))/10^6</f>
        <v>146.05249917008999</v>
      </c>
      <c r="I86" s="1">
        <f>INDEX('Worldwide Population'!85:85,1,MATCH(I$2,'Worldwide Population'!$1:$1,0))/10^6</f>
        <v>193.49502311427901</v>
      </c>
      <c r="J86" s="1">
        <f>INDEX('Worldwide Population'!85:85,1,MATCH(J$2,'Worldwide Population'!$1:$1,0))/10^6</f>
        <v>403.13882356756801</v>
      </c>
      <c r="L86" s="1">
        <f t="shared" si="7"/>
        <v>103.25438048036966</v>
      </c>
      <c r="M86" s="1">
        <f t="shared" si="8"/>
        <v>1901.2258017024537</v>
      </c>
      <c r="N86" s="1">
        <f t="shared" si="9"/>
        <v>44.161249820094362</v>
      </c>
      <c r="O86" s="1">
        <f>INDEX('USA Population'!85:85,1,MATCH(O$2,'USA Population'!$1:$1,0))/10^6</f>
        <v>68.447596745156901</v>
      </c>
      <c r="P86" s="1">
        <f>INDEX('USA Population'!85:85,1,MATCH(P$2,'USA Population'!$1:$1,0))/10^6</f>
        <v>64.593227329681596</v>
      </c>
      <c r="Q86" s="1">
        <f>INDEX('USA Population'!85:85,1,MATCH(Q$2,'USA Population'!$1:$1,0))/10^6</f>
        <v>48.289849796660903</v>
      </c>
      <c r="R86" s="1">
        <f>INDEX('USA Population'!85:85,1,MATCH(R$2,'USA Population'!$1:$1,0))/10^6</f>
        <v>55.172415981257998</v>
      </c>
      <c r="S86" s="1">
        <f>INDEX('USA Population'!85:85,1,MATCH(S$2,'USA Population'!$1:$1,0))/10^6</f>
        <v>127.041370486486</v>
      </c>
    </row>
    <row r="87" spans="1:19" x14ac:dyDescent="0.3">
      <c r="A87" s="54">
        <v>43983</v>
      </c>
      <c r="B87" s="55">
        <f t="shared" si="6"/>
        <v>2020</v>
      </c>
      <c r="C87" s="1">
        <v>491.35440559741056</v>
      </c>
      <c r="D87" s="1">
        <f>D86*(1+'Summary_Population World_USA'!$V$7)</f>
        <v>12624.1531241302</v>
      </c>
      <c r="E87" s="1">
        <f>E86*(1+'Summary_Population World_USA'!$V$8)</f>
        <v>491.35440559741056</v>
      </c>
      <c r="F87" s="1">
        <f>INDEX('Worldwide Population'!86:86,1,MATCH(F$2,'Worldwide Population'!$1:$1,0))/10^6</f>
        <v>206.00385598044801</v>
      </c>
      <c r="G87" s="1">
        <f>INDEX('Worldwide Population'!86:86,1,MATCH(G$2,'Worldwide Population'!$1:$1,0))/10^6</f>
        <v>227.99711072995601</v>
      </c>
      <c r="H87" s="1">
        <f>INDEX('Worldwide Population'!86:86,1,MATCH(H$2,'Worldwide Population'!$1:$1,0))/10^6</f>
        <v>146.095454638955</v>
      </c>
      <c r="I87" s="1">
        <f>INDEX('Worldwide Population'!86:86,1,MATCH(I$2,'Worldwide Population'!$1:$1,0))/10^6</f>
        <v>193.563723667902</v>
      </c>
      <c r="J87" s="1">
        <f>INDEX('Worldwide Population'!86:86,1,MATCH(J$2,'Worldwide Population'!$1:$1,0))/10^6</f>
        <v>406.31335832432399</v>
      </c>
      <c r="L87" s="1">
        <f t="shared" si="7"/>
        <v>104.82227319411427</v>
      </c>
      <c r="M87" s="1">
        <f t="shared" si="8"/>
        <v>1987.9691355889531</v>
      </c>
      <c r="N87" s="1">
        <f t="shared" si="9"/>
        <v>44.153486658549127</v>
      </c>
      <c r="O87" s="1">
        <f>INDEX('USA Population'!86:86,1,MATCH(O$2,'USA Population'!$1:$1,0))/10^6</f>
        <v>68.546423604688997</v>
      </c>
      <c r="P87" s="1">
        <f>INDEX('USA Population'!86:86,1,MATCH(P$2,'USA Population'!$1:$1,0))/10^6</f>
        <v>64.612539617565005</v>
      </c>
      <c r="Q87" s="1">
        <f>INDEX('USA Population'!86:86,1,MATCH(Q$2,'USA Population'!$1:$1,0))/10^6</f>
        <v>48.305340132369196</v>
      </c>
      <c r="R87" s="1">
        <f>INDEX('USA Population'!86:86,1,MATCH(R$2,'USA Population'!$1:$1,0))/10^6</f>
        <v>55.175473911226696</v>
      </c>
      <c r="S87" s="1">
        <f>INDEX('USA Population'!86:86,1,MATCH(S$2,'USA Population'!$1:$1,0))/10^6</f>
        <v>128.020217135135</v>
      </c>
    </row>
    <row r="88" spans="1:19" x14ac:dyDescent="0.3">
      <c r="A88" s="54">
        <v>44013</v>
      </c>
      <c r="B88" s="55">
        <f t="shared" si="6"/>
        <v>2020</v>
      </c>
      <c r="C88" s="1">
        <v>498.81550302318959</v>
      </c>
      <c r="D88" s="1">
        <f>D87*(1+'Summary_Population World_USA'!$V$7)</f>
        <v>13314.759042646143</v>
      </c>
      <c r="E88" s="1">
        <f>E87*(1+'Summary_Population World_USA'!$V$8)</f>
        <v>498.81550302318959</v>
      </c>
      <c r="F88" s="1">
        <f>INDEX('Worldwide Population'!87:87,1,MATCH(F$2,'Worldwide Population'!$1:$1,0))/10^6</f>
        <v>206.30818379434498</v>
      </c>
      <c r="G88" s="1">
        <f>INDEX('Worldwide Population'!87:87,1,MATCH(G$2,'Worldwide Population'!$1:$1,0))/10^6</f>
        <v>228.12049277411501</v>
      </c>
      <c r="H88" s="1">
        <f>INDEX('Worldwide Population'!87:87,1,MATCH(H$2,'Worldwide Population'!$1:$1,0))/10^6</f>
        <v>146.13755098707199</v>
      </c>
      <c r="I88" s="1">
        <f>INDEX('Worldwide Population'!87:87,1,MATCH(I$2,'Worldwide Population'!$1:$1,0))/10^6</f>
        <v>193.62945112234399</v>
      </c>
      <c r="J88" s="1">
        <f>INDEX('Worldwide Population'!87:87,1,MATCH(J$2,'Worldwide Population'!$1:$1,0))/10^6</f>
        <v>409.48789308108098</v>
      </c>
      <c r="L88" s="1">
        <f t="shared" si="7"/>
        <v>106.41397397828047</v>
      </c>
      <c r="M88" s="1">
        <f t="shared" si="8"/>
        <v>2078.6701298264784</v>
      </c>
      <c r="N88" s="1">
        <f t="shared" si="9"/>
        <v>44.145724861699804</v>
      </c>
      <c r="O88" s="1">
        <f>INDEX('USA Population'!87:87,1,MATCH(O$2,'USA Population'!$1:$1,0))/10^6</f>
        <v>68.6431484886498</v>
      </c>
      <c r="P88" s="1">
        <f>INDEX('USA Population'!87:87,1,MATCH(P$2,'USA Population'!$1:$1,0))/10^6</f>
        <v>64.630942447235697</v>
      </c>
      <c r="Q88" s="1">
        <f>INDEX('USA Population'!87:87,1,MATCH(Q$2,'USA Population'!$1:$1,0))/10^6</f>
        <v>48.320520659669697</v>
      </c>
      <c r="R88" s="1">
        <f>INDEX('USA Population'!87:87,1,MATCH(R$2,'USA Population'!$1:$1,0))/10^6</f>
        <v>55.178339685773501</v>
      </c>
      <c r="S88" s="1">
        <f>INDEX('USA Population'!87:87,1,MATCH(S$2,'USA Population'!$1:$1,0))/10^6</f>
        <v>128.99906378378401</v>
      </c>
    </row>
    <row r="89" spans="1:19" x14ac:dyDescent="0.3">
      <c r="A89" s="54">
        <v>44044</v>
      </c>
      <c r="B89" s="55">
        <f t="shared" si="6"/>
        <v>2020</v>
      </c>
      <c r="C89" s="1">
        <v>506.38989540300344</v>
      </c>
      <c r="D89" s="1">
        <f>D88*(1+'Summary_Population World_USA'!$V$7)</f>
        <v>14043.144646658582</v>
      </c>
      <c r="E89" s="1">
        <f>E88*(1+'Summary_Population World_USA'!$V$8)</f>
        <v>506.38989540300344</v>
      </c>
      <c r="F89" s="1">
        <f>INDEX('Worldwide Population'!88:88,1,MATCH(F$2,'Worldwide Population'!$1:$1,0))/10^6</f>
        <v>206.60642500395301</v>
      </c>
      <c r="G89" s="1">
        <f>INDEX('Worldwide Population'!88:88,1,MATCH(G$2,'Worldwide Population'!$1:$1,0))/10^6</f>
        <v>228.23863467314101</v>
      </c>
      <c r="H89" s="1">
        <f>INDEX('Worldwide Population'!88:88,1,MATCH(H$2,'Worldwide Population'!$1:$1,0))/10^6</f>
        <v>146.17880539708199</v>
      </c>
      <c r="I89" s="1">
        <f>INDEX('Worldwide Population'!88:88,1,MATCH(I$2,'Worldwide Population'!$1:$1,0))/10^6</f>
        <v>193.69233349958699</v>
      </c>
      <c r="J89" s="1">
        <f>INDEX('Worldwide Population'!88:88,1,MATCH(J$2,'Worldwide Population'!$1:$1,0))/10^6</f>
        <v>412.66242783783798</v>
      </c>
      <c r="L89" s="1">
        <f t="shared" si="7"/>
        <v>108.02984435264075</v>
      </c>
      <c r="M89" s="1">
        <f t="shared" si="8"/>
        <v>2173.5093524742942</v>
      </c>
      <c r="N89" s="1">
        <f t="shared" si="9"/>
        <v>44.137964429306493</v>
      </c>
      <c r="O89" s="1">
        <f>INDEX('USA Population'!88:88,1,MATCH(O$2,'USA Population'!$1:$1,0))/10^6</f>
        <v>68.737816104534303</v>
      </c>
      <c r="P89" s="1">
        <f>INDEX('USA Population'!88:88,1,MATCH(P$2,'USA Population'!$1:$1,0))/10^6</f>
        <v>64.648478404643001</v>
      </c>
      <c r="Q89" s="1">
        <f>INDEX('USA Population'!88:88,1,MATCH(Q$2,'USA Population'!$1:$1,0))/10^6</f>
        <v>48.335397574764499</v>
      </c>
      <c r="R89" s="1">
        <f>INDEX('USA Population'!88:88,1,MATCH(R$2,'USA Population'!$1:$1,0))/10^6</f>
        <v>55.181025372013302</v>
      </c>
      <c r="S89" s="1">
        <f>INDEX('USA Population'!88:88,1,MATCH(S$2,'USA Population'!$1:$1,0))/10^6</f>
        <v>129.977910432432</v>
      </c>
    </row>
    <row r="90" spans="1:19" x14ac:dyDescent="0.3">
      <c r="A90" s="54">
        <v>44075</v>
      </c>
      <c r="B90" s="55">
        <f t="shared" si="6"/>
        <v>2020</v>
      </c>
      <c r="C90" s="1">
        <v>514.07930309323899</v>
      </c>
      <c r="D90" s="1">
        <f>D89*(1+'Summary_Population World_USA'!$V$7)</f>
        <v>14811.376678716266</v>
      </c>
      <c r="E90" s="1">
        <f>E89*(1+'Summary_Population World_USA'!$V$8)</f>
        <v>514.07930309323899</v>
      </c>
      <c r="F90" s="1">
        <f>INDEX('Worldwide Population'!89:89,1,MATCH(F$2,'Worldwide Population'!$1:$1,0))/10^6</f>
        <v>206.898701342321</v>
      </c>
      <c r="G90" s="1">
        <f>INDEX('Worldwide Population'!89:89,1,MATCH(G$2,'Worldwide Population'!$1:$1,0))/10^6</f>
        <v>228.351756406927</v>
      </c>
      <c r="H90" s="1">
        <f>INDEX('Worldwide Population'!89:89,1,MATCH(H$2,'Worldwide Population'!$1:$1,0))/10^6</f>
        <v>146.21923470797199</v>
      </c>
      <c r="I90" s="1">
        <f>INDEX('Worldwide Population'!89:89,1,MATCH(I$2,'Worldwide Population'!$1:$1,0))/10^6</f>
        <v>193.752493363799</v>
      </c>
      <c r="J90" s="1">
        <f>INDEX('Worldwide Population'!89:89,1,MATCH(J$2,'Worldwide Population'!$1:$1,0))/10^6</f>
        <v>415.83696259459504</v>
      </c>
      <c r="L90" s="1">
        <f t="shared" si="7"/>
        <v>109.67025132655768</v>
      </c>
      <c r="M90" s="1">
        <f t="shared" si="8"/>
        <v>2272.6756100005077</v>
      </c>
      <c r="N90" s="1">
        <f t="shared" si="9"/>
        <v>44.130205361129335</v>
      </c>
      <c r="O90" s="1">
        <f>INDEX('USA Population'!89:89,1,MATCH(O$2,'USA Population'!$1:$1,0))/10^6</f>
        <v>68.830470208941108</v>
      </c>
      <c r="P90" s="1">
        <f>INDEX('USA Population'!89:89,1,MATCH(P$2,'USA Population'!$1:$1,0))/10^6</f>
        <v>64.665188104057705</v>
      </c>
      <c r="Q90" s="1">
        <f>INDEX('USA Population'!89:89,1,MATCH(Q$2,'USA Population'!$1:$1,0))/10^6</f>
        <v>48.349976949930898</v>
      </c>
      <c r="R90" s="1">
        <f>INDEX('USA Population'!89:89,1,MATCH(R$2,'USA Population'!$1:$1,0))/10^6</f>
        <v>55.183542280190295</v>
      </c>
      <c r="S90" s="1">
        <f>INDEX('USA Population'!89:89,1,MATCH(S$2,'USA Population'!$1:$1,0))/10^6</f>
        <v>130.95675708108101</v>
      </c>
    </row>
    <row r="91" spans="1:19" x14ac:dyDescent="0.3">
      <c r="A91" s="54">
        <v>44105</v>
      </c>
      <c r="B91" s="55">
        <f t="shared" si="6"/>
        <v>2020</v>
      </c>
      <c r="C91" s="1">
        <v>521.8854725734775</v>
      </c>
      <c r="D91" s="1">
        <f>D90*(1+'Summary_Population World_USA'!$V$7)</f>
        <v>15621.634942784591</v>
      </c>
      <c r="E91" s="1">
        <f>E90*(1+'Summary_Population World_USA'!$V$8)</f>
        <v>521.8854725734775</v>
      </c>
      <c r="F91" s="1">
        <f>INDEX('Worldwide Population'!90:90,1,MATCH(F$2,'Worldwide Population'!$1:$1,0))/10^6</f>
        <v>207.185132107812</v>
      </c>
      <c r="G91" s="1">
        <f>INDEX('Worldwide Population'!90:90,1,MATCH(G$2,'Worldwide Population'!$1:$1,0))/10^6</f>
        <v>228.46006893731902</v>
      </c>
      <c r="H91" s="1">
        <f>INDEX('Worldwide Population'!90:90,1,MATCH(H$2,'Worldwide Population'!$1:$1,0))/10^6</f>
        <v>146.258855421942</v>
      </c>
      <c r="I91" s="1">
        <f>INDEX('Worldwide Population'!90:90,1,MATCH(I$2,'Worldwide Population'!$1:$1,0))/10^6</f>
        <v>193.810048049313</v>
      </c>
      <c r="J91" s="1">
        <f>INDEX('Worldwide Population'!90:90,1,MATCH(J$2,'Worldwide Population'!$1:$1,0))/10^6</f>
        <v>419.01149735135101</v>
      </c>
      <c r="L91" s="1">
        <f t="shared" si="7"/>
        <v>111.33556748234189</v>
      </c>
      <c r="M91" s="1">
        <f t="shared" si="8"/>
        <v>2376.3663231590654</v>
      </c>
      <c r="N91" s="1">
        <f t="shared" si="9"/>
        <v>44.122447656928514</v>
      </c>
      <c r="O91" s="1">
        <f>INDEX('USA Population'!90:90,1,MATCH(O$2,'USA Population'!$1:$1,0))/10^6</f>
        <v>68.921153627798006</v>
      </c>
      <c r="P91" s="1">
        <f>INDEX('USA Population'!90:90,1,MATCH(P$2,'USA Population'!$1:$1,0))/10^6</f>
        <v>64.68111027727501</v>
      </c>
      <c r="Q91" s="1">
        <f>INDEX('USA Population'!90:90,1,MATCH(Q$2,'USA Population'!$1:$1,0))/10^6</f>
        <v>48.364264736000003</v>
      </c>
      <c r="R91" s="1">
        <f>INDEX('USA Population'!90:90,1,MATCH(R$2,'USA Population'!$1:$1,0))/10^6</f>
        <v>55.185901011037203</v>
      </c>
      <c r="S91" s="1">
        <f>INDEX('USA Population'!90:90,1,MATCH(S$2,'USA Population'!$1:$1,0))/10^6</f>
        <v>131.93560372972999</v>
      </c>
    </row>
    <row r="92" spans="1:19" x14ac:dyDescent="0.3">
      <c r="A92" s="54">
        <v>44136</v>
      </c>
      <c r="B92" s="55">
        <f t="shared" si="6"/>
        <v>2020</v>
      </c>
      <c r="C92" s="1">
        <v>529.81017684316885</v>
      </c>
      <c r="D92" s="1">
        <f>D91*(1+'Summary_Population World_USA'!$V$7)</f>
        <v>16476.218489284929</v>
      </c>
      <c r="E92" s="1">
        <f>E91*(1+'Summary_Population World_USA'!$V$8)</f>
        <v>529.81017684316885</v>
      </c>
      <c r="F92" s="1">
        <f>INDEX('Worldwide Population'!91:91,1,MATCH(F$2,'Worldwide Population'!$1:$1,0))/10^6</f>
        <v>207.46583421280701</v>
      </c>
      <c r="G92" s="1">
        <f>INDEX('Worldwide Population'!91:91,1,MATCH(G$2,'Worldwide Population'!$1:$1,0))/10^6</f>
        <v>228.56377455945301</v>
      </c>
      <c r="H92" s="1">
        <f>INDEX('Worldwide Population'!91:91,1,MATCH(H$2,'Worldwide Population'!$1:$1,0))/10^6</f>
        <v>146.297683711144</v>
      </c>
      <c r="I92" s="1">
        <f>INDEX('Worldwide Population'!91:91,1,MATCH(I$2,'Worldwide Population'!$1:$1,0))/10^6</f>
        <v>193.86510987948699</v>
      </c>
      <c r="J92" s="1">
        <f>INDEX('Worldwide Population'!91:91,1,MATCH(J$2,'Worldwide Population'!$1:$1,0))/10^6</f>
        <v>422.18603210810801</v>
      </c>
      <c r="L92" s="1">
        <f t="shared" si="7"/>
        <v>113.02617105987605</v>
      </c>
      <c r="M92" s="1">
        <f t="shared" si="8"/>
        <v>2484.7879200161233</v>
      </c>
      <c r="N92" s="1">
        <f t="shared" si="9"/>
        <v>44.114691316464253</v>
      </c>
      <c r="O92" s="1">
        <f>INDEX('USA Population'!91:91,1,MATCH(O$2,'USA Population'!$1:$1,0))/10^6</f>
        <v>69.009908276156096</v>
      </c>
      <c r="P92" s="1">
        <f>INDEX('USA Population'!91:91,1,MATCH(P$2,'USA Population'!$1:$1,0))/10^6</f>
        <v>64.696281858978097</v>
      </c>
      <c r="Q92" s="1">
        <f>INDEX('USA Population'!91:91,1,MATCH(Q$2,'USA Population'!$1:$1,0))/10^6</f>
        <v>48.378266764785501</v>
      </c>
      <c r="R92" s="1">
        <f>INDEX('USA Population'!91:91,1,MATCH(R$2,'USA Population'!$1:$1,0))/10^6</f>
        <v>55.188111500184903</v>
      </c>
      <c r="S92" s="1">
        <f>INDEX('USA Population'!91:91,1,MATCH(S$2,'USA Population'!$1:$1,0))/10^6</f>
        <v>132.91445037837801</v>
      </c>
    </row>
    <row r="93" spans="1:19" x14ac:dyDescent="0.3">
      <c r="A93" s="54">
        <v>44166</v>
      </c>
      <c r="B93" s="55">
        <f t="shared" si="6"/>
        <v>2020</v>
      </c>
      <c r="C93" s="1">
        <v>537.85521582432932</v>
      </c>
      <c r="D93" s="1">
        <f>D92*(1+'Summary_Population World_USA'!$V$7)</f>
        <v>17377.552138487314</v>
      </c>
      <c r="E93" s="1">
        <f>E92*(1+'Summary_Population World_USA'!$V$8)</f>
        <v>537.85521582432932</v>
      </c>
      <c r="F93" s="1">
        <f>INDEX('Worldwide Population'!92:92,1,MATCH(F$2,'Worldwide Population'!$1:$1,0))/10^6</f>
        <v>207.74092223142</v>
      </c>
      <c r="G93" s="1">
        <f>INDEX('Worldwide Population'!92:92,1,MATCH(G$2,'Worldwide Population'!$1:$1,0))/10^6</f>
        <v>228.66306724098598</v>
      </c>
      <c r="H93" s="1">
        <f>INDEX('Worldwide Population'!92:92,1,MATCH(H$2,'Worldwide Population'!$1:$1,0))/10^6</f>
        <v>146.335735424283</v>
      </c>
      <c r="I93" s="1">
        <f>INDEX('Worldwide Population'!92:92,1,MATCH(I$2,'Worldwide Population'!$1:$1,0))/10^6</f>
        <v>193.91778637678399</v>
      </c>
      <c r="J93" s="1">
        <f>INDEX('Worldwide Population'!92:92,1,MATCH(J$2,'Worldwide Population'!$1:$1,0))/10^6</f>
        <v>425.36056686486501</v>
      </c>
      <c r="L93" s="1">
        <f t="shared" si="7"/>
        <v>114.74244604252361</v>
      </c>
      <c r="M93" s="1">
        <f t="shared" si="8"/>
        <v>2598.1562469082237</v>
      </c>
      <c r="N93" s="1">
        <f t="shared" si="9"/>
        <v>44.106936339496819</v>
      </c>
      <c r="O93" s="1">
        <f>INDEX('USA Population'!92:92,1,MATCH(O$2,'USA Population'!$1:$1,0))/10^6</f>
        <v>69.096775177564098</v>
      </c>
      <c r="P93" s="1">
        <f>INDEX('USA Population'!92:92,1,MATCH(P$2,'USA Population'!$1:$1,0))/10^6</f>
        <v>64.710738068406101</v>
      </c>
      <c r="Q93" s="1">
        <f>INDEX('USA Population'!92:92,1,MATCH(Q$2,'USA Population'!$1:$1,0))/10^6</f>
        <v>48.391988751464595</v>
      </c>
      <c r="R93" s="1">
        <f>INDEX('USA Population'!92:92,1,MATCH(R$2,'USA Population'!$1:$1,0))/10^6</f>
        <v>55.190183059804099</v>
      </c>
      <c r="S93" s="1">
        <f>INDEX('USA Population'!92:92,1,MATCH(S$2,'USA Population'!$1:$1,0))/10^6</f>
        <v>133.89329702702699</v>
      </c>
    </row>
    <row r="94" spans="1:19" x14ac:dyDescent="0.3">
      <c r="A94" s="54">
        <v>44197</v>
      </c>
      <c r="B94" s="55">
        <f t="shared" si="6"/>
        <v>2021</v>
      </c>
      <c r="C94" s="1">
        <v>546.02241677035431</v>
      </c>
      <c r="D94" s="1">
        <f>D93*(1+'Summary_Population World_USA'!$V$7)</f>
        <v>18328.193360766181</v>
      </c>
      <c r="E94" s="1">
        <f>E93*(1+'Summary_Population World_USA'!$V$8)</f>
        <v>546.02241677035431</v>
      </c>
      <c r="F94" s="1">
        <f>INDEX('Worldwide Population'!93:93,1,MATCH(F$2,'Worldwide Population'!$1:$1,0))/10^6</f>
        <v>208.010508446264</v>
      </c>
      <c r="G94" s="1">
        <f>INDEX('Worldwide Population'!93:93,1,MATCH(G$2,'Worldwide Population'!$1:$1,0))/10^6</f>
        <v>228.75813294949401</v>
      </c>
      <c r="H94" s="1">
        <f>INDEX('Worldwide Population'!93:93,1,MATCH(H$2,'Worldwide Population'!$1:$1,0))/10^6</f>
        <v>146.37302609308699</v>
      </c>
      <c r="I94" s="1">
        <f>INDEX('Worldwide Population'!93:93,1,MATCH(I$2,'Worldwide Population'!$1:$1,0))/10^6</f>
        <v>193.968180464374</v>
      </c>
      <c r="J94" s="1">
        <f>INDEX('Worldwide Population'!93:93,1,MATCH(J$2,'Worldwide Population'!$1:$1,0))/10^6</f>
        <v>428.535101621622</v>
      </c>
      <c r="L94" s="1">
        <f t="shared" si="7"/>
        <v>107.38440863150304</v>
      </c>
      <c r="M94" s="1">
        <f t="shared" si="8"/>
        <v>2716.6969981504194</v>
      </c>
      <c r="N94" s="1">
        <f t="shared" si="9"/>
        <v>44.09918272578652</v>
      </c>
      <c r="O94" s="1">
        <f>INDEX('USA Population'!93:93,1,MATCH(O$2,'USA Population'!$1:$1,0))/10^6</f>
        <v>69.181794483029392</v>
      </c>
      <c r="P94" s="1">
        <f>INDEX('USA Population'!93:93,1,MATCH(P$2,'USA Population'!$1:$1,0))/10^6</f>
        <v>64.724512487472296</v>
      </c>
      <c r="Q94" s="1">
        <f>INDEX('USA Population'!93:93,1,MATCH(Q$2,'USA Population'!$1:$1,0))/10^6</f>
        <v>48.405436296909699</v>
      </c>
      <c r="R94" s="1">
        <f>INDEX('USA Population'!93:93,1,MATCH(R$2,'USA Population'!$1:$1,0))/10^6</f>
        <v>55.192124417650703</v>
      </c>
      <c r="S94" s="1">
        <f>INDEX('USA Population'!93:93,1,MATCH(S$2,'USA Population'!$1:$1,0))/10^6</f>
        <v>134.872143675676</v>
      </c>
    </row>
    <row r="95" spans="1:19" x14ac:dyDescent="0.3">
      <c r="A95" s="54">
        <v>44228</v>
      </c>
      <c r="B95" s="55">
        <f t="shared" si="6"/>
        <v>2021</v>
      </c>
      <c r="C95" s="1">
        <v>554.31363468103871</v>
      </c>
      <c r="D95" s="1">
        <f>D94*(1+'Summary_Population World_USA'!$V$7)</f>
        <v>19330.83953324136</v>
      </c>
      <c r="E95" s="1">
        <f>E94*(1+'Summary_Population World_USA'!$V$8)</f>
        <v>554.31363468103871</v>
      </c>
      <c r="F95" s="1">
        <f>INDEX('Worldwide Population'!94:94,1,MATCH(F$2,'Worldwide Population'!$1:$1,0))/10^6</f>
        <v>208.274702894282</v>
      </c>
      <c r="G95" s="1">
        <f>INDEX('Worldwide Population'!94:94,1,MATCH(G$2,'Worldwide Population'!$1:$1,0))/10^6</f>
        <v>228.84914996832401</v>
      </c>
      <c r="H95" s="1">
        <f>INDEX('Worldwide Population'!94:94,1,MATCH(H$2,'Worldwide Population'!$1:$1,0))/10^6</f>
        <v>146.40957093864301</v>
      </c>
      <c r="I95" s="1">
        <f>INDEX('Worldwide Population'!94:94,1,MATCH(I$2,'Worldwide Population'!$1:$1,0))/10^6</f>
        <v>194.016390659585</v>
      </c>
      <c r="J95" s="1">
        <f>INDEX('Worldwide Population'!94:94,1,MATCH(J$2,'Worldwide Population'!$1:$1,0))/10^6</f>
        <v>431.709636378379</v>
      </c>
      <c r="L95" s="1">
        <f t="shared" si="7"/>
        <v>109.01501482060431</v>
      </c>
      <c r="M95" s="1">
        <f t="shared" si="8"/>
        <v>2840.64616534981</v>
      </c>
      <c r="N95" s="1">
        <f t="shared" si="9"/>
        <v>44.091430475093709</v>
      </c>
      <c r="O95" s="1">
        <f>INDEX('USA Population'!94:94,1,MATCH(O$2,'USA Population'!$1:$1,0))/10^6</f>
        <v>69.265005489576595</v>
      </c>
      <c r="P95" s="1">
        <f>INDEX('USA Population'!94:94,1,MATCH(P$2,'USA Population'!$1:$1,0))/10^6</f>
        <v>64.737637135469498</v>
      </c>
      <c r="Q95" s="1">
        <f>INDEX('USA Population'!94:94,1,MATCH(Q$2,'USA Population'!$1:$1,0))/10^6</f>
        <v>48.4186148899758</v>
      </c>
      <c r="R95" s="1">
        <f>INDEX('USA Population'!94:94,1,MATCH(R$2,'USA Population'!$1:$1,0))/10^6</f>
        <v>55.193943753675605</v>
      </c>
      <c r="S95" s="1">
        <f>INDEX('USA Population'!94:94,1,MATCH(S$2,'USA Population'!$1:$1,0))/10^6</f>
        <v>135.85099032432402</v>
      </c>
    </row>
    <row r="96" spans="1:19" x14ac:dyDescent="0.3">
      <c r="A96" s="54">
        <v>44256</v>
      </c>
      <c r="B96" s="55">
        <f t="shared" si="6"/>
        <v>2021</v>
      </c>
      <c r="C96" s="1">
        <v>562.73075272389906</v>
      </c>
      <c r="D96" s="1">
        <f>D95*(1+'Summary_Population World_USA'!$V$7)</f>
        <v>20388.335593394564</v>
      </c>
      <c r="E96" s="1">
        <f>E95*(1+'Summary_Population World_USA'!$V$8)</f>
        <v>562.73075272389906</v>
      </c>
      <c r="F96" s="1">
        <f>INDEX('Worldwide Population'!95:95,1,MATCH(F$2,'Worldwide Population'!$1:$1,0))/10^6</f>
        <v>208.533613411662</v>
      </c>
      <c r="G96" s="1">
        <f>INDEX('Worldwide Population'!95:95,1,MATCH(G$2,'Worldwide Population'!$1:$1,0))/10^6</f>
        <v>228.936289201184</v>
      </c>
      <c r="H96" s="1">
        <f>INDEX('Worldwide Population'!95:95,1,MATCH(H$2,'Worldwide Population'!$1:$1,0))/10^6</f>
        <v>146.445384877614</v>
      </c>
      <c r="I96" s="1">
        <f>INDEX('Worldwide Population'!95:95,1,MATCH(I$2,'Worldwide Population'!$1:$1,0))/10^6</f>
        <v>194.06251125950101</v>
      </c>
      <c r="J96" s="1">
        <f>INDEX('Worldwide Population'!95:95,1,MATCH(J$2,'Worldwide Population'!$1:$1,0))/10^6</f>
        <v>434.88417113513498</v>
      </c>
      <c r="L96" s="1">
        <f t="shared" si="7"/>
        <v>110.67038136903351</v>
      </c>
      <c r="M96" s="1">
        <f t="shared" si="8"/>
        <v>2970.2505072189861</v>
      </c>
      <c r="N96" s="1">
        <f t="shared" si="9"/>
        <v>44.083679587178779</v>
      </c>
      <c r="O96" s="1">
        <f>INDEX('USA Population'!95:95,1,MATCH(O$2,'USA Population'!$1:$1,0))/10^6</f>
        <v>69.346446658411296</v>
      </c>
      <c r="P96" s="1">
        <f>INDEX('USA Population'!95:95,1,MATCH(P$2,'USA Population'!$1:$1,0))/10^6</f>
        <v>64.7501425404988</v>
      </c>
      <c r="Q96" s="1">
        <f>INDEX('USA Population'!95:95,1,MATCH(Q$2,'USA Population'!$1:$1,0))/10^6</f>
        <v>48.431529909739702</v>
      </c>
      <c r="R96" s="1">
        <f>INDEX('USA Population'!95:95,1,MATCH(R$2,'USA Population'!$1:$1,0))/10^6</f>
        <v>55.1956487343489</v>
      </c>
      <c r="S96" s="1">
        <f>INDEX('USA Population'!95:95,1,MATCH(S$2,'USA Population'!$1:$1,0))/10^6</f>
        <v>136.829836972973</v>
      </c>
    </row>
    <row r="97" spans="1:19" x14ac:dyDescent="0.3">
      <c r="A97" s="54">
        <v>44287</v>
      </c>
      <c r="B97" s="55">
        <f t="shared" si="6"/>
        <v>2021</v>
      </c>
      <c r="C97" s="1">
        <v>571.27568266189394</v>
      </c>
      <c r="D97" s="1">
        <f>D96*(1+'Summary_Population World_USA'!$V$7)</f>
        <v>21503.682111377937</v>
      </c>
      <c r="E97" s="1">
        <f>E96*(1+'Summary_Population World_USA'!$V$8)</f>
        <v>571.27568266189394</v>
      </c>
      <c r="F97" s="1">
        <f>INDEX('Worldwide Population'!96:96,1,MATCH(F$2,'Worldwide Population'!$1:$1,0))/10^6</f>
        <v>208.787345677849</v>
      </c>
      <c r="G97" s="1">
        <f>INDEX('Worldwide Population'!96:96,1,MATCH(G$2,'Worldwide Population'!$1:$1,0))/10^6</f>
        <v>229.01971446577502</v>
      </c>
      <c r="H97" s="1">
        <f>INDEX('Worldwide Population'!96:96,1,MATCH(H$2,'Worldwide Population'!$1:$1,0))/10^6</f>
        <v>146.48048252832498</v>
      </c>
      <c r="I97" s="1">
        <f>INDEX('Worldwide Population'!96:96,1,MATCH(I$2,'Worldwide Population'!$1:$1,0))/10^6</f>
        <v>194.106632518998</v>
      </c>
      <c r="J97" s="1">
        <f>INDEX('Worldwide Population'!96:96,1,MATCH(J$2,'Worldwide Population'!$1:$1,0))/10^6</f>
        <v>438.05870589189203</v>
      </c>
      <c r="L97" s="1">
        <f t="shared" si="7"/>
        <v>112.35088425683917</v>
      </c>
      <c r="M97" s="1">
        <f t="shared" si="8"/>
        <v>3105.7680408246883</v>
      </c>
      <c r="N97" s="1">
        <f t="shared" si="9"/>
        <v>44.075930061802168</v>
      </c>
      <c r="O97" s="1">
        <f>INDEX('USA Population'!96:96,1,MATCH(O$2,'USA Population'!$1:$1,0))/10^6</f>
        <v>69.426155632697004</v>
      </c>
      <c r="P97" s="1">
        <f>INDEX('USA Population'!96:96,1,MATCH(P$2,'USA Population'!$1:$1,0))/10^6</f>
        <v>64.762057807753393</v>
      </c>
      <c r="Q97" s="1">
        <f>INDEX('USA Population'!96:96,1,MATCH(Q$2,'USA Population'!$1:$1,0))/10^6</f>
        <v>48.444186627696297</v>
      </c>
      <c r="R97" s="1">
        <f>INDEX('USA Population'!96:96,1,MATCH(R$2,'USA Population'!$1:$1,0))/10^6</f>
        <v>55.197246544840503</v>
      </c>
      <c r="S97" s="1">
        <f>INDEX('USA Population'!96:96,1,MATCH(S$2,'USA Population'!$1:$1,0))/10^6</f>
        <v>137.80868362162201</v>
      </c>
    </row>
    <row r="98" spans="1:19" x14ac:dyDescent="0.3">
      <c r="A98" s="54">
        <v>44317</v>
      </c>
      <c r="B98" s="55">
        <f t="shared" si="6"/>
        <v>2021</v>
      </c>
      <c r="C98" s="1">
        <v>579.95036528763831</v>
      </c>
      <c r="D98" s="1">
        <f>D97*(1+'Summary_Population World_USA'!$V$7)</f>
        <v>22680.043803919289</v>
      </c>
      <c r="E98" s="1">
        <f>E97*(1+'Summary_Population World_USA'!$V$8)</f>
        <v>579.95036528763831</v>
      </c>
      <c r="F98" s="1">
        <f>INDEX('Worldwide Population'!97:97,1,MATCH(F$2,'Worldwide Population'!$1:$1,0))/10^6</f>
        <v>209.03600325868402</v>
      </c>
      <c r="G98" s="1">
        <f>INDEX('Worldwide Population'!97:97,1,MATCH(G$2,'Worldwide Population'!$1:$1,0))/10^6</f>
        <v>229.09958277674099</v>
      </c>
      <c r="H98" s="1">
        <f>INDEX('Worldwide Population'!97:97,1,MATCH(H$2,'Worldwide Population'!$1:$1,0))/10^6</f>
        <v>146.51487821673101</v>
      </c>
      <c r="I98" s="1">
        <f>INDEX('Worldwide Population'!97:97,1,MATCH(I$2,'Worldwide Population'!$1:$1,0))/10^6</f>
        <v>194.14884082150502</v>
      </c>
      <c r="J98" s="1">
        <f>INDEX('Worldwide Population'!97:97,1,MATCH(J$2,'Worldwide Population'!$1:$1,0))/10^6</f>
        <v>441.23324064864897</v>
      </c>
      <c r="L98" s="1">
        <f t="shared" si="7"/>
        <v>114.05690517323556</v>
      </c>
      <c r="M98" s="1">
        <f t="shared" si="8"/>
        <v>3247.4685552496644</v>
      </c>
      <c r="N98" s="1">
        <f t="shared" si="9"/>
        <v>44.068181898724355</v>
      </c>
      <c r="O98" s="1">
        <f>INDEX('USA Population'!97:97,1,MATCH(O$2,'USA Population'!$1:$1,0))/10^6</f>
        <v>69.504169254954505</v>
      </c>
      <c r="P98" s="1">
        <f>INDEX('USA Population'!97:97,1,MATCH(P$2,'USA Population'!$1:$1,0))/10^6</f>
        <v>64.773410684783897</v>
      </c>
      <c r="Q98" s="1">
        <f>INDEX('USA Population'!97:97,1,MATCH(Q$2,'USA Population'!$1:$1,0))/10^6</f>
        <v>48.456590209909898</v>
      </c>
      <c r="R98" s="1">
        <f>INDEX('USA Population'!97:97,1,MATCH(R$2,'USA Population'!$1:$1,0))/10^6</f>
        <v>55.198743919190804</v>
      </c>
      <c r="S98" s="1">
        <f>INDEX('USA Population'!97:97,1,MATCH(S$2,'USA Population'!$1:$1,0))/10^6</f>
        <v>138.78753027027</v>
      </c>
    </row>
    <row r="99" spans="1:19" x14ac:dyDescent="0.3">
      <c r="A99" s="54">
        <v>44348</v>
      </c>
      <c r="B99" s="55">
        <f t="shared" si="6"/>
        <v>2021</v>
      </c>
      <c r="C99" s="1">
        <v>588.75677086421217</v>
      </c>
      <c r="D99" s="1">
        <f>D98*(1+'Summary_Population World_USA'!$V$7)</f>
        <v>23920.758513981604</v>
      </c>
      <c r="E99" s="1">
        <f>E98*(1+'Summary_Population World_USA'!$V$8)</f>
        <v>588.75677086421217</v>
      </c>
      <c r="F99" s="1">
        <f>INDEX('Worldwide Population'!98:98,1,MATCH(F$2,'Worldwide Population'!$1:$1,0))/10^6</f>
        <v>209.279687648676</v>
      </c>
      <c r="G99" s="1">
        <f>INDEX('Worldwide Population'!98:98,1,MATCH(G$2,'Worldwide Population'!$1:$1,0))/10^6</f>
        <v>229.17604461826301</v>
      </c>
      <c r="H99" s="1">
        <f>INDEX('Worldwide Population'!98:98,1,MATCH(H$2,'Worldwide Population'!$1:$1,0))/10^6</f>
        <v>146.54858598226301</v>
      </c>
      <c r="I99" s="1">
        <f>INDEX('Worldwide Population'!98:98,1,MATCH(I$2,'Worldwide Population'!$1:$1,0))/10^6</f>
        <v>194.18921884277199</v>
      </c>
      <c r="J99" s="1">
        <f>INDEX('Worldwide Population'!98:98,1,MATCH(J$2,'Worldwide Population'!$1:$1,0))/10^6</f>
        <v>444.40777540540597</v>
      </c>
      <c r="L99" s="1">
        <f t="shared" si="7"/>
        <v>115.78883160329509</v>
      </c>
      <c r="M99" s="1">
        <f t="shared" si="8"/>
        <v>3395.6341486903198</v>
      </c>
      <c r="N99" s="1">
        <f t="shared" si="9"/>
        <v>44.060435097705849</v>
      </c>
      <c r="O99" s="1">
        <f>INDEX('USA Population'!98:98,1,MATCH(O$2,'USA Population'!$1:$1,0))/10^6</f>
        <v>69.580523584090898</v>
      </c>
      <c r="P99" s="1">
        <f>INDEX('USA Population'!98:98,1,MATCH(P$2,'USA Population'!$1:$1,0))/10^6</f>
        <v>64.784227623868404</v>
      </c>
      <c r="Q99" s="1">
        <f>INDEX('USA Population'!98:98,1,MATCH(Q$2,'USA Population'!$1:$1,0))/10^6</f>
        <v>48.468745719123199</v>
      </c>
      <c r="R99" s="1">
        <f>INDEX('USA Population'!98:98,1,MATCH(R$2,'USA Population'!$1:$1,0))/10^6</f>
        <v>55.200147168595301</v>
      </c>
      <c r="S99" s="1">
        <f>INDEX('USA Population'!98:98,1,MATCH(S$2,'USA Population'!$1:$1,0))/10^6</f>
        <v>139.76637691891901</v>
      </c>
    </row>
    <row r="100" spans="1:19" x14ac:dyDescent="0.3">
      <c r="A100" s="54">
        <v>44378</v>
      </c>
      <c r="B100" s="55">
        <f t="shared" si="6"/>
        <v>2021</v>
      </c>
      <c r="C100" s="1">
        <v>597.69689957266246</v>
      </c>
      <c r="D100" s="1">
        <f>D99*(1+'Summary_Population World_USA'!$V$7)</f>
        <v>25229.346681655981</v>
      </c>
      <c r="E100" s="1">
        <f>E99*(1+'Summary_Population World_USA'!$V$8)</f>
        <v>597.69689957266246</v>
      </c>
      <c r="F100" s="1">
        <f>INDEX('Worldwide Population'!99:99,1,MATCH(F$2,'Worldwide Population'!$1:$1,0))/10^6</f>
        <v>209.51849831242498</v>
      </c>
      <c r="G100" s="1">
        <f>INDEX('Worldwide Population'!99:99,1,MATCH(G$2,'Worldwide Population'!$1:$1,0))/10^6</f>
        <v>229.24924420657001</v>
      </c>
      <c r="H100" s="1">
        <f>INDEX('Worldwide Population'!99:99,1,MATCH(H$2,'Worldwide Population'!$1:$1,0))/10^6</f>
        <v>146.58161958356197</v>
      </c>
      <c r="I100" s="1">
        <f>INDEX('Worldwide Population'!99:99,1,MATCH(I$2,'Worldwide Population'!$1:$1,0))/10^6</f>
        <v>194.22784570790299</v>
      </c>
      <c r="J100" s="1">
        <f>INDEX('Worldwide Population'!99:99,1,MATCH(J$2,'Worldwide Population'!$1:$1,0))/10^6</f>
        <v>447.582310162162</v>
      </c>
      <c r="L100" s="1">
        <f t="shared" si="7"/>
        <v>117.54705691595697</v>
      </c>
      <c r="M100" s="1">
        <f t="shared" si="8"/>
        <v>3550.5597900594248</v>
      </c>
      <c r="N100" s="1">
        <f t="shared" si="9"/>
        <v>44.052689658507219</v>
      </c>
      <c r="O100" s="1">
        <f>INDEX('USA Population'!99:99,1,MATCH(O$2,'USA Population'!$1:$1,0))/10^6</f>
        <v>69.655253912066499</v>
      </c>
      <c r="P100" s="1">
        <f>INDEX('USA Population'!99:99,1,MATCH(P$2,'USA Population'!$1:$1,0))/10^6</f>
        <v>64.794533841606295</v>
      </c>
      <c r="Q100" s="1">
        <f>INDEX('USA Population'!99:99,1,MATCH(Q$2,'USA Population'!$1:$1,0))/10^6</f>
        <v>48.4806581168233</v>
      </c>
      <c r="R100" s="1">
        <f>INDEX('USA Population'!99:99,1,MATCH(R$2,'USA Population'!$1:$1,0))/10^6</f>
        <v>55.2014622079204</v>
      </c>
      <c r="S100" s="1">
        <f>INDEX('USA Population'!99:99,1,MATCH(S$2,'USA Population'!$1:$1,0))/10^6</f>
        <v>140.74522356756799</v>
      </c>
    </row>
    <row r="101" spans="1:19" x14ac:dyDescent="0.3">
      <c r="A101" s="54">
        <v>44409</v>
      </c>
      <c r="B101" s="55">
        <f t="shared" si="6"/>
        <v>2021</v>
      </c>
      <c r="C101" s="1">
        <v>606.77278196629982</v>
      </c>
      <c r="D101" s="1">
        <f>D100*(1+'Summary_Population World_USA'!$V$7)</f>
        <v>26609.521333160981</v>
      </c>
      <c r="E101" s="1">
        <f>E100*(1+'Summary_Population World_USA'!$V$8)</f>
        <v>606.77278196629982</v>
      </c>
      <c r="F101" s="1">
        <f>INDEX('Worldwide Population'!100:100,1,MATCH(F$2,'Worldwide Population'!$1:$1,0))/10^6</f>
        <v>209.752532725225</v>
      </c>
      <c r="G101" s="1">
        <f>INDEX('Worldwide Population'!100:100,1,MATCH(G$2,'Worldwide Population'!$1:$1,0))/10^6</f>
        <v>229.31931974268099</v>
      </c>
      <c r="H101" s="1">
        <f>INDEX('Worldwide Population'!100:100,1,MATCH(H$2,'Worldwide Population'!$1:$1,0))/10^6</f>
        <v>146.61399250409099</v>
      </c>
      <c r="I101" s="1">
        <f>INDEX('Worldwide Population'!100:100,1,MATCH(I$2,'Worldwide Population'!$1:$1,0))/10^6</f>
        <v>194.264797141923</v>
      </c>
      <c r="J101" s="1">
        <f>INDEX('Worldwide Population'!100:100,1,MATCH(J$2,'Worldwide Population'!$1:$1,0))/10^6</f>
        <v>450.756844918919</v>
      </c>
      <c r="L101" s="1">
        <f t="shared" si="7"/>
        <v>119.33198045337232</v>
      </c>
      <c r="M101" s="1">
        <f t="shared" si="8"/>
        <v>3712.5539062119178</v>
      </c>
      <c r="N101" s="1">
        <f t="shared" si="9"/>
        <v>44.04494558088907</v>
      </c>
      <c r="O101" s="1">
        <f>INDEX('USA Population'!100:100,1,MATCH(O$2,'USA Population'!$1:$1,0))/10^6</f>
        <v>69.72839478020731</v>
      </c>
      <c r="P101" s="1">
        <f>INDEX('USA Population'!100:100,1,MATCH(P$2,'USA Population'!$1:$1,0))/10^6</f>
        <v>64.804353375852699</v>
      </c>
      <c r="Q101" s="1">
        <f>INDEX('USA Population'!100:100,1,MATCH(Q$2,'USA Population'!$1:$1,0))/10^6</f>
        <v>48.492332265266903</v>
      </c>
      <c r="R101" s="1">
        <f>INDEX('USA Population'!100:100,1,MATCH(R$2,'USA Population'!$1:$1,0))/10^6</f>
        <v>55.202694580561896</v>
      </c>
      <c r="S101" s="1">
        <f>INDEX('USA Population'!100:100,1,MATCH(S$2,'USA Population'!$1:$1,0))/10^6</f>
        <v>141.72407021621601</v>
      </c>
    </row>
    <row r="102" spans="1:19" x14ac:dyDescent="0.3">
      <c r="A102" s="54">
        <v>44440</v>
      </c>
      <c r="B102" s="55">
        <f t="shared" si="6"/>
        <v>2021</v>
      </c>
      <c r="C102" s="1">
        <v>615.98647943189428</v>
      </c>
      <c r="D102" s="1">
        <f>D101*(1+'Summary_Population World_USA'!$V$7)</f>
        <v>28065.198616291476</v>
      </c>
      <c r="E102" s="1">
        <f>E101*(1+'Summary_Population World_USA'!$V$8)</f>
        <v>615.98647943189428</v>
      </c>
      <c r="F102" s="1">
        <f>INDEX('Worldwide Population'!101:101,1,MATCH(F$2,'Worldwide Population'!$1:$1,0))/10^6</f>
        <v>209.98188641284901</v>
      </c>
      <c r="G102" s="1">
        <f>INDEX('Worldwide Population'!101:101,1,MATCH(G$2,'Worldwide Population'!$1:$1,0))/10^6</f>
        <v>229.386403655663</v>
      </c>
      <c r="H102" s="1">
        <f>INDEX('Worldwide Population'!101:101,1,MATCH(H$2,'Worldwide Population'!$1:$1,0))/10^6</f>
        <v>146.64571795763902</v>
      </c>
      <c r="I102" s="1">
        <f>INDEX('Worldwide Population'!101:101,1,MATCH(I$2,'Worldwide Population'!$1:$1,0))/10^6</f>
        <v>194.30014561412202</v>
      </c>
      <c r="J102" s="1">
        <f>INDEX('Worldwide Population'!101:101,1,MATCH(J$2,'Worldwide Population'!$1:$1,0))/10^6</f>
        <v>453.931379675676</v>
      </c>
      <c r="L102" s="1">
        <f t="shared" si="7"/>
        <v>121.14400762160591</v>
      </c>
      <c r="M102" s="1">
        <f t="shared" si="8"/>
        <v>3881.9389959628552</v>
      </c>
      <c r="N102" s="1">
        <f t="shared" si="9"/>
        <v>44.037202864612048</v>
      </c>
      <c r="O102" s="1">
        <f>INDEX('USA Population'!101:101,1,MATCH(O$2,'USA Population'!$1:$1,0))/10^6</f>
        <v>69.79997999517029</v>
      </c>
      <c r="P102" s="1">
        <f>INDEX('USA Population'!101:101,1,MATCH(P$2,'USA Population'!$1:$1,0))/10^6</f>
        <v>64.813709140100997</v>
      </c>
      <c r="Q102" s="1">
        <f>INDEX('USA Population'!101:101,1,MATCH(Q$2,'USA Population'!$1:$1,0))/10^6</f>
        <v>48.503772929465299</v>
      </c>
      <c r="R102" s="1">
        <f>INDEX('USA Population'!101:101,1,MATCH(R$2,'USA Population'!$1:$1,0))/10^6</f>
        <v>55.203849481746396</v>
      </c>
      <c r="S102" s="1">
        <f>INDEX('USA Population'!101:101,1,MATCH(S$2,'USA Population'!$1:$1,0))/10^6</f>
        <v>142.70291686486502</v>
      </c>
    </row>
    <row r="103" spans="1:19" x14ac:dyDescent="0.3">
      <c r="A103" s="54">
        <v>44470</v>
      </c>
      <c r="B103" s="55">
        <f t="shared" si="6"/>
        <v>2021</v>
      </c>
      <c r="C103" s="1">
        <v>625.34008465787372</v>
      </c>
      <c r="D103" s="1">
        <f>D102*(1+'Summary_Population World_USA'!$V$7)</f>
        <v>29600.508912210575</v>
      </c>
      <c r="E103" s="1">
        <f>E102*(1+'Summary_Population World_USA'!$V$8)</f>
        <v>625.34008465787372</v>
      </c>
      <c r="F103" s="1">
        <f>INDEX('Worldwide Population'!102:102,1,MATCH(F$2,'Worldwide Population'!$1:$1,0))/10^6</f>
        <v>210.20665299053903</v>
      </c>
      <c r="G103" s="1">
        <f>INDEX('Worldwide Population'!102:102,1,MATCH(G$2,'Worldwide Population'!$1:$1,0))/10^6</f>
        <v>229.450622836707</v>
      </c>
      <c r="H103" s="1">
        <f>INDEX('Worldwide Population'!102:102,1,MATCH(H$2,'Worldwide Population'!$1:$1,0))/10^6</f>
        <v>146.676808893718</v>
      </c>
      <c r="I103" s="1">
        <f>INDEX('Worldwide Population'!102:102,1,MATCH(I$2,'Worldwide Population'!$1:$1,0))/10^6</f>
        <v>194.33396047642401</v>
      </c>
      <c r="J103" s="1">
        <f>INDEX('Worldwide Population'!102:102,1,MATCH(J$2,'Worldwide Population'!$1:$1,0))/10^6</f>
        <v>457.105914432433</v>
      </c>
      <c r="L103" s="1">
        <f t="shared" si="7"/>
        <v>122.98354998271519</v>
      </c>
      <c r="M103" s="1">
        <f t="shared" si="8"/>
        <v>4059.0522721199013</v>
      </c>
      <c r="N103" s="1">
        <f t="shared" si="9"/>
        <v>44.029461509436842</v>
      </c>
      <c r="O103" s="1">
        <f>INDEX('USA Population'!102:102,1,MATCH(O$2,'USA Population'!$1:$1,0))/10^6</f>
        <v>69.870042644569395</v>
      </c>
      <c r="P103" s="1">
        <f>INDEX('USA Population'!102:102,1,MATCH(P$2,'USA Population'!$1:$1,0))/10^6</f>
        <v>64.822622975424991</v>
      </c>
      <c r="Q103" s="1">
        <f>INDEX('USA Population'!102:102,1,MATCH(Q$2,'USA Population'!$1:$1,0))/10^6</f>
        <v>48.514984779129001</v>
      </c>
      <c r="R103" s="1">
        <f>INDEX('USA Population'!102:102,1,MATCH(R$2,'USA Population'!$1:$1,0))/10^6</f>
        <v>55.204931780375901</v>
      </c>
      <c r="S103" s="1">
        <f>INDEX('USA Population'!102:102,1,MATCH(S$2,'USA Population'!$1:$1,0))/10^6</f>
        <v>143.681763513513</v>
      </c>
    </row>
    <row r="104" spans="1:19" x14ac:dyDescent="0.3">
      <c r="A104" s="54">
        <v>44501</v>
      </c>
      <c r="B104" s="55">
        <f t="shared" si="6"/>
        <v>2021</v>
      </c>
      <c r="C104" s="1">
        <v>634.83572210963223</v>
      </c>
      <c r="D104" s="1">
        <f>D103*(1+'Summary_Population World_USA'!$V$7)</f>
        <v>31219.808555113552</v>
      </c>
      <c r="E104" s="1">
        <f>E103*(1+'Summary_Population World_USA'!$V$8)</f>
        <v>634.83572210963223</v>
      </c>
      <c r="F104" s="1">
        <f>INDEX('Worldwide Population'!103:103,1,MATCH(F$2,'Worldwide Population'!$1:$1,0))/10^6</f>
        <v>210.42692420121602</v>
      </c>
      <c r="G104" s="1">
        <f>INDEX('Worldwide Population'!103:103,1,MATCH(G$2,'Worldwide Population'!$1:$1,0))/10^6</f>
        <v>229.51209886430601</v>
      </c>
      <c r="H104" s="1">
        <f>INDEX('Worldwide Population'!103:103,1,MATCH(H$2,'Worldwide Population'!$1:$1,0))/10^6</f>
        <v>146.70727800284499</v>
      </c>
      <c r="I104" s="1">
        <f>INDEX('Worldwide Population'!103:103,1,MATCH(I$2,'Worldwide Population'!$1:$1,0))/10^6</f>
        <v>194.36630809601502</v>
      </c>
      <c r="J104" s="1">
        <f>INDEX('Worldwide Population'!103:103,1,MATCH(J$2,'Worldwide Population'!$1:$1,0))/10^6</f>
        <v>460.28044918918903</v>
      </c>
      <c r="L104" s="1">
        <f t="shared" si="7"/>
        <v>124.85102534822769</v>
      </c>
      <c r="M104" s="1">
        <f t="shared" si="8"/>
        <v>4244.2463328085196</v>
      </c>
      <c r="N104" s="1">
        <f t="shared" si="9"/>
        <v>44.021721515124185</v>
      </c>
      <c r="O104" s="1">
        <f>INDEX('USA Population'!103:103,1,MATCH(O$2,'USA Population'!$1:$1,0))/10^6</f>
        <v>69.938615112269105</v>
      </c>
      <c r="P104" s="1">
        <f>INDEX('USA Population'!103:103,1,MATCH(P$2,'USA Population'!$1:$1,0))/10^6</f>
        <v>64.831115700080801</v>
      </c>
      <c r="Q104" s="1">
        <f>INDEX('USA Population'!103:103,1,MATCH(Q$2,'USA Population'!$1:$1,0))/10^6</f>
        <v>48.5259723905735</v>
      </c>
      <c r="R104" s="1">
        <f>INDEX('USA Population'!103:103,1,MATCH(R$2,'USA Population'!$1:$1,0))/10^6</f>
        <v>55.2059460395039</v>
      </c>
      <c r="S104" s="1">
        <f>INDEX('USA Population'!103:103,1,MATCH(S$2,'USA Population'!$1:$1,0))/10^6</f>
        <v>144.66061016216202</v>
      </c>
    </row>
    <row r="105" spans="1:19" x14ac:dyDescent="0.3">
      <c r="A105" s="54">
        <v>44531</v>
      </c>
      <c r="B105" s="55">
        <f t="shared" si="6"/>
        <v>2021</v>
      </c>
      <c r="C105" s="1">
        <v>644.47554851205518</v>
      </c>
      <c r="D105" s="1">
        <f>D104*(1+'Summary_Population World_USA'!$V$7)</f>
        <v>32927.692193017509</v>
      </c>
      <c r="E105" s="1">
        <f>E104*(1+'Summary_Population World_USA'!$V$8)</f>
        <v>644.47554851205518</v>
      </c>
      <c r="F105" s="1">
        <f>INDEX('Worldwide Population'!104:104,1,MATCH(F$2,'Worldwide Population'!$1:$1,0))/10^6</f>
        <v>210.642789952931</v>
      </c>
      <c r="G105" s="1">
        <f>INDEX('Worldwide Population'!104:104,1,MATCH(G$2,'Worldwide Population'!$1:$1,0))/10^6</f>
        <v>229.57094822081802</v>
      </c>
      <c r="H105" s="1">
        <f>INDEX('Worldwide Population'!104:104,1,MATCH(H$2,'Worldwide Population'!$1:$1,0))/10^6</f>
        <v>146.737137721724</v>
      </c>
      <c r="I105" s="1">
        <f>INDEX('Worldwide Population'!104:104,1,MATCH(I$2,'Worldwide Population'!$1:$1,0))/10^6</f>
        <v>194.39725198244801</v>
      </c>
      <c r="J105" s="1">
        <f>INDEX('Worldwide Population'!104:104,1,MATCH(J$2,'Worldwide Population'!$1:$1,0))/10^6</f>
        <v>463.45498394594597</v>
      </c>
      <c r="L105" s="1">
        <f t="shared" si="7"/>
        <v>126.74685787403754</v>
      </c>
      <c r="M105" s="1">
        <f t="shared" si="8"/>
        <v>4437.8898634263405</v>
      </c>
      <c r="N105" s="1">
        <f t="shared" si="9"/>
        <v>44.013982881434842</v>
      </c>
      <c r="O105" s="1">
        <f>INDEX('USA Population'!104:104,1,MATCH(O$2,'USA Population'!$1:$1,0))/10^6</f>
        <v>70.0057290933525</v>
      </c>
      <c r="P105" s="1">
        <f>INDEX('USA Population'!104:104,1,MATCH(P$2,'USA Population'!$1:$1,0))/10^6</f>
        <v>64.839207156870202</v>
      </c>
      <c r="Q105" s="1">
        <f>INDEX('USA Population'!104:104,1,MATCH(Q$2,'USA Population'!$1:$1,0))/10^6</f>
        <v>48.536740248587897</v>
      </c>
      <c r="R105" s="1">
        <f>INDEX('USA Population'!104:104,1,MATCH(R$2,'USA Population'!$1:$1,0))/10^6</f>
        <v>55.206896535529602</v>
      </c>
      <c r="S105" s="1">
        <f>INDEX('USA Population'!104:104,1,MATCH(S$2,'USA Population'!$1:$1,0))/10^6</f>
        <v>145.63945681081103</v>
      </c>
    </row>
    <row r="106" spans="1:19" x14ac:dyDescent="0.3">
      <c r="A106" s="54">
        <v>44562</v>
      </c>
      <c r="B106" s="55">
        <f t="shared" si="6"/>
        <v>2022</v>
      </c>
      <c r="C106" s="1">
        <v>654.26175333937215</v>
      </c>
      <c r="D106" s="1">
        <f>D105*(1+'Summary_Population World_USA'!$V$7)</f>
        <v>34729.005824749605</v>
      </c>
      <c r="E106" s="1">
        <f>E105*(1+'Summary_Population World_USA'!$V$8)</f>
        <v>654.26175333937215</v>
      </c>
      <c r="F106" s="1">
        <f>INDEX('Worldwide Population'!105:105,1,MATCH(F$2,'Worldwide Population'!$1:$1,0))/10^6</f>
        <v>210.85433835555699</v>
      </c>
      <c r="G106" s="1">
        <f>INDEX('Worldwide Population'!105:105,1,MATCH(G$2,'Worldwide Population'!$1:$1,0))/10^6</f>
        <v>229.62728250071402</v>
      </c>
      <c r="H106" s="1">
        <f>INDEX('Worldwide Population'!105:105,1,MATCH(H$2,'Worldwide Population'!$1:$1,0))/10^6</f>
        <v>146.76640023832101</v>
      </c>
      <c r="I106" s="1">
        <f>INDEX('Worldwide Population'!105:105,1,MATCH(I$2,'Worldwide Population'!$1:$1,0))/10^6</f>
        <v>194.42685290946099</v>
      </c>
      <c r="J106" s="1">
        <f>INDEX('Worldwide Population'!105:105,1,MATCH(J$2,'Worldwide Population'!$1:$1,0))/10^6</f>
        <v>466.62951870270302</v>
      </c>
      <c r="L106" s="1">
        <f t="shared" si="7"/>
        <v>117.76711560108701</v>
      </c>
      <c r="M106" s="1">
        <f t="shared" si="8"/>
        <v>4640.3683706241663</v>
      </c>
      <c r="N106" s="1">
        <f t="shared" si="9"/>
        <v>44.006245608129632</v>
      </c>
      <c r="O106" s="1">
        <f>INDEX('USA Population'!105:105,1,MATCH(O$2,'USA Population'!$1:$1,0))/10^6</f>
        <v>70.071415608771289</v>
      </c>
      <c r="P106" s="1">
        <f>INDEX('USA Population'!105:105,1,MATCH(P$2,'USA Population'!$1:$1,0))/10^6</f>
        <v>64.846916258359599</v>
      </c>
      <c r="Q106" s="1">
        <f>INDEX('USA Population'!105:105,1,MATCH(Q$2,'USA Population'!$1:$1,0))/10^6</f>
        <v>48.547292748264702</v>
      </c>
      <c r="R106" s="1">
        <f>INDEX('USA Population'!105:105,1,MATCH(R$2,'USA Population'!$1:$1,0))/10^6</f>
        <v>55.207787276189002</v>
      </c>
      <c r="S106" s="1">
        <f>INDEX('USA Population'!105:105,1,MATCH(S$2,'USA Population'!$1:$1,0))/10^6</f>
        <v>146.61830345945901</v>
      </c>
    </row>
    <row r="107" spans="1:19" x14ac:dyDescent="0.3">
      <c r="A107" s="54">
        <v>44593</v>
      </c>
      <c r="B107" s="55">
        <f t="shared" si="6"/>
        <v>2022</v>
      </c>
      <c r="C107" s="1">
        <v>664.19655931244756</v>
      </c>
      <c r="D107" s="1">
        <f>D106*(1+'Summary_Population World_USA'!$V$7)</f>
        <v>36628.860550125428</v>
      </c>
      <c r="E107" s="1">
        <f>E106*(1+'Summary_Population World_USA'!$V$8)</f>
        <v>664.19655931244756</v>
      </c>
      <c r="F107" s="1">
        <f>INDEX('Worldwide Population'!106:106,1,MATCH(F$2,'Worldwide Population'!$1:$1,0))/10^6</f>
        <v>211.06165575675698</v>
      </c>
      <c r="G107" s="1">
        <f>INDEX('Worldwide Population'!106:106,1,MATCH(G$2,'Worldwide Population'!$1:$1,0))/10^6</f>
        <v>229.68120861075499</v>
      </c>
      <c r="H107" s="1">
        <f>INDEX('Worldwide Population'!106:106,1,MATCH(H$2,'Worldwide Population'!$1:$1,0))/10^6</f>
        <v>146.79507749684001</v>
      </c>
      <c r="I107" s="1">
        <f>INDEX('Worldwide Population'!106:106,1,MATCH(I$2,'Worldwide Population'!$1:$1,0))/10^6</f>
        <v>194.4551690317</v>
      </c>
      <c r="J107" s="1">
        <f>INDEX('Worldwide Population'!106:106,1,MATCH(J$2,'Worldwide Population'!$1:$1,0))/10^6</f>
        <v>469.80405345946002</v>
      </c>
      <c r="L107" s="1">
        <f t="shared" si="7"/>
        <v>119.55538067624059</v>
      </c>
      <c r="M107" s="1">
        <f t="shared" si="8"/>
        <v>4852.0849497748204</v>
      </c>
      <c r="N107" s="1">
        <f t="shared" si="9"/>
        <v>43.998509694969407</v>
      </c>
      <c r="O107" s="1">
        <f>INDEX('USA Population'!106:106,1,MATCH(O$2,'USA Population'!$1:$1,0))/10^6</f>
        <v>70.13570501968411</v>
      </c>
      <c r="P107" s="1">
        <f>INDEX('USA Population'!106:106,1,MATCH(P$2,'USA Population'!$1:$1,0))/10^6</f>
        <v>64.8542610300495</v>
      </c>
      <c r="Q107" s="1">
        <f>INDEX('USA Population'!106:106,1,MATCH(Q$2,'USA Population'!$1:$1,0))/10^6</f>
        <v>48.557634196794197</v>
      </c>
      <c r="R107" s="1">
        <f>INDEX('USA Population'!106:106,1,MATCH(R$2,'USA Population'!$1:$1,0))/10^6</f>
        <v>55.208622017420204</v>
      </c>
      <c r="S107" s="1">
        <f>INDEX('USA Population'!106:106,1,MATCH(S$2,'USA Population'!$1:$1,0))/10^6</f>
        <v>147.59715010810802</v>
      </c>
    </row>
    <row r="108" spans="1:19" x14ac:dyDescent="0.3">
      <c r="A108" s="54">
        <v>44621</v>
      </c>
      <c r="B108" s="55">
        <f t="shared" si="6"/>
        <v>2022</v>
      </c>
      <c r="C108" s="1">
        <v>674.28222290362282</v>
      </c>
      <c r="D108" s="1">
        <f>D107*(1+'Summary_Population World_USA'!$V$7)</f>
        <v>38632.647072332606</v>
      </c>
      <c r="E108" s="1">
        <f>E107*(1+'Summary_Population World_USA'!$V$8)</f>
        <v>674.28222290362282</v>
      </c>
      <c r="F108" s="1">
        <f>INDEX('Worldwide Population'!107:107,1,MATCH(F$2,'Worldwide Population'!$1:$1,0))/10^6</f>
        <v>211.264826777228</v>
      </c>
      <c r="G108" s="1">
        <f>INDEX('Worldwide Population'!107:107,1,MATCH(G$2,'Worldwide Population'!$1:$1,0))/10^6</f>
        <v>229.73282896240698</v>
      </c>
      <c r="H108" s="1">
        <f>INDEX('Worldwide Population'!107:107,1,MATCH(H$2,'Worldwide Population'!$1:$1,0))/10^6</f>
        <v>146.823181202597</v>
      </c>
      <c r="I108" s="1">
        <f>INDEX('Worldwide Population'!107:107,1,MATCH(I$2,'Worldwide Population'!$1:$1,0))/10^6</f>
        <v>194.482255996557</v>
      </c>
      <c r="J108" s="1">
        <f>INDEX('Worldwide Population'!107:107,1,MATCH(J$2,'Worldwide Population'!$1:$1,0))/10^6</f>
        <v>472.97858821621605</v>
      </c>
      <c r="L108" s="1">
        <f t="shared" si="7"/>
        <v>121.37080012265214</v>
      </c>
      <c r="M108" s="1">
        <f t="shared" si="8"/>
        <v>5073.4610874577265</v>
      </c>
      <c r="N108" s="1">
        <f t="shared" si="9"/>
        <v>43.990775141715069</v>
      </c>
      <c r="O108" s="1">
        <f>INDEX('USA Population'!107:107,1,MATCH(O$2,'USA Population'!$1:$1,0))/10^6</f>
        <v>70.198627041489701</v>
      </c>
      <c r="P108" s="1">
        <f>INDEX('USA Population'!107:107,1,MATCH(P$2,'USA Population'!$1:$1,0))/10^6</f>
        <v>64.861258651580002</v>
      </c>
      <c r="Q108" s="1">
        <f>INDEX('USA Population'!107:107,1,MATCH(Q$2,'USA Population'!$1:$1,0))/10^6</f>
        <v>48.5677688152225</v>
      </c>
      <c r="R108" s="1">
        <f>INDEX('USA Population'!107:107,1,MATCH(R$2,'USA Population'!$1:$1,0))/10^6</f>
        <v>55.209404279170698</v>
      </c>
      <c r="S108" s="1">
        <f>INDEX('USA Population'!107:107,1,MATCH(S$2,'USA Population'!$1:$1,0))/10^6</f>
        <v>148.57599675675698</v>
      </c>
    </row>
    <row r="109" spans="1:19" x14ac:dyDescent="0.3">
      <c r="A109" s="54">
        <v>44652</v>
      </c>
      <c r="B109" s="55">
        <f t="shared" si="6"/>
        <v>2022</v>
      </c>
      <c r="C109" s="1">
        <v>684.52103484922452</v>
      </c>
      <c r="D109" s="1">
        <f>D108*(1+'Summary_Population World_USA'!$V$7)</f>
        <v>40746.050993669211</v>
      </c>
      <c r="E109" s="1">
        <f>E108*(1+'Summary_Population World_USA'!$V$8)</f>
        <v>684.52103484922452</v>
      </c>
      <c r="F109" s="1">
        <f>INDEX('Worldwide Population'!108:108,1,MATCH(F$2,'Worldwide Population'!$1:$1,0))/10^6</f>
        <v>211.46393434523799</v>
      </c>
      <c r="G109" s="1">
        <f>INDEX('Worldwide Population'!108:108,1,MATCH(G$2,'Worldwide Population'!$1:$1,0))/10^6</f>
        <v>229.78224165673299</v>
      </c>
      <c r="H109" s="1">
        <f>INDEX('Worldwide Population'!108:108,1,MATCH(H$2,'Worldwide Population'!$1:$1,0))/10^6</f>
        <v>146.850722826799</v>
      </c>
      <c r="I109" s="1">
        <f>INDEX('Worldwide Population'!108:108,1,MATCH(I$2,'Worldwide Population'!$1:$1,0))/10^6</f>
        <v>194.50816705133101</v>
      </c>
      <c r="J109" s="1">
        <f>INDEX('Worldwide Population'!108:108,1,MATCH(J$2,'Worldwide Population'!$1:$1,0))/10^6</f>
        <v>476.15312297297299</v>
      </c>
      <c r="L109" s="1">
        <f t="shared" si="7"/>
        <v>123.21378627286045</v>
      </c>
      <c r="M109" s="1">
        <f t="shared" si="8"/>
        <v>5304.9375005568072</v>
      </c>
      <c r="N109" s="1">
        <f t="shared" si="9"/>
        <v>43.983041948127557</v>
      </c>
      <c r="O109" s="1">
        <f>INDEX('USA Population'!108:108,1,MATCH(O$2,'USA Population'!$1:$1,0))/10^6</f>
        <v>70.260210757561993</v>
      </c>
      <c r="P109" s="1">
        <f>INDEX('USA Population'!108:108,1,MATCH(P$2,'USA Population'!$1:$1,0))/10^6</f>
        <v>64.867925496060295</v>
      </c>
      <c r="Q109" s="1">
        <f>INDEX('USA Population'!108:108,1,MATCH(Q$2,'USA Population'!$1:$1,0))/10^6</f>
        <v>48.577700740174194</v>
      </c>
      <c r="R109" s="1">
        <f>INDEX('USA Population'!108:108,1,MATCH(R$2,'USA Population'!$1:$1,0))/10^6</f>
        <v>55.210137360213501</v>
      </c>
      <c r="S109" s="1">
        <f>INDEX('USA Population'!108:108,1,MATCH(S$2,'USA Population'!$1:$1,0))/10^6</f>
        <v>149.55484340540502</v>
      </c>
    </row>
    <row r="110" spans="1:19" x14ac:dyDescent="0.3">
      <c r="A110" s="54">
        <v>44682</v>
      </c>
      <c r="B110" s="55">
        <f t="shared" si="6"/>
        <v>2022</v>
      </c>
      <c r="C110" s="1">
        <v>694.91532066985428</v>
      </c>
      <c r="D110" s="1">
        <f>D109*(1+'Summary_Population World_USA'!$V$7)</f>
        <v>42975.068948037471</v>
      </c>
      <c r="E110" s="1">
        <f>E109*(1+'Summary_Population World_USA'!$V$8)</f>
        <v>694.91532066985428</v>
      </c>
      <c r="F110" s="1">
        <f>INDEX('Worldwide Population'!109:109,1,MATCH(F$2,'Worldwide Population'!$1:$1,0))/10^6</f>
        <v>211.65905973047799</v>
      </c>
      <c r="G110" s="1">
        <f>INDEX('Worldwide Population'!109:109,1,MATCH(G$2,'Worldwide Population'!$1:$1,0))/10^6</f>
        <v>229.82954066202802</v>
      </c>
      <c r="H110" s="1">
        <f>INDEX('Worldwide Population'!109:109,1,MATCH(H$2,'Worldwide Population'!$1:$1,0))/10^6</f>
        <v>146.877713611226</v>
      </c>
      <c r="I110" s="1">
        <f>INDEX('Worldwide Population'!109:109,1,MATCH(I$2,'Worldwide Population'!$1:$1,0))/10^6</f>
        <v>194.532953145877</v>
      </c>
      <c r="J110" s="1">
        <f>INDEX('Worldwide Population'!109:109,1,MATCH(J$2,'Worldwide Population'!$1:$1,0))/10^6</f>
        <v>479.32765772972999</v>
      </c>
      <c r="L110" s="1">
        <f t="shared" si="7"/>
        <v>125.0847577205738</v>
      </c>
      <c r="M110" s="1">
        <f t="shared" si="8"/>
        <v>5546.9750136421826</v>
      </c>
      <c r="N110" s="1">
        <f t="shared" si="9"/>
        <v>43.975310113967851</v>
      </c>
      <c r="O110" s="1">
        <f>INDEX('USA Population'!109:109,1,MATCH(O$2,'USA Population'!$1:$1,0))/10^6</f>
        <v>70.320484632692498</v>
      </c>
      <c r="P110" s="1">
        <f>INDEX('USA Population'!109:109,1,MATCH(P$2,'USA Population'!$1:$1,0))/10^6</f>
        <v>64.87427716760341</v>
      </c>
      <c r="Q110" s="1">
        <f>INDEX('USA Population'!109:109,1,MATCH(Q$2,'USA Population'!$1:$1,0))/10^6</f>
        <v>48.587434025541</v>
      </c>
      <c r="R110" s="1">
        <f>INDEX('USA Population'!109:109,1,MATCH(R$2,'USA Population'!$1:$1,0))/10^6</f>
        <v>55.210824352035701</v>
      </c>
      <c r="S110" s="1">
        <f>INDEX('USA Population'!109:109,1,MATCH(S$2,'USA Population'!$1:$1,0))/10^6</f>
        <v>150.53369005405401</v>
      </c>
    </row>
    <row r="111" spans="1:19" x14ac:dyDescent="0.3">
      <c r="A111" s="54">
        <v>44713</v>
      </c>
      <c r="B111" s="55">
        <f t="shared" si="6"/>
        <v>2022</v>
      </c>
      <c r="C111" s="1">
        <v>705.46744119857999</v>
      </c>
      <c r="D111" s="1">
        <f>D110*(1+'Summary_Population World_USA'!$V$7)</f>
        <v>45326.025615967643</v>
      </c>
      <c r="E111" s="1">
        <f>E110*(1+'Summary_Population World_USA'!$V$8)</f>
        <v>705.46744119857999</v>
      </c>
      <c r="F111" s="1">
        <f>INDEX('Worldwide Population'!110:110,1,MATCH(F$2,'Worldwide Population'!$1:$1,0))/10^6</f>
        <v>211.85028257723002</v>
      </c>
      <c r="G111" s="1">
        <f>INDEX('Worldwide Population'!110:110,1,MATCH(G$2,'Worldwide Population'!$1:$1,0))/10^6</f>
        <v>229.87481598446502</v>
      </c>
      <c r="H111" s="1">
        <f>INDEX('Worldwide Population'!110:110,1,MATCH(H$2,'Worldwide Population'!$1:$1,0))/10^6</f>
        <v>146.90416457282001</v>
      </c>
      <c r="I111" s="1">
        <f>INDEX('Worldwide Population'!110:110,1,MATCH(I$2,'Worldwide Population'!$1:$1,0))/10^6</f>
        <v>194.55666303094898</v>
      </c>
      <c r="J111" s="1">
        <f>INDEX('Worldwide Population'!110:110,1,MATCH(J$2,'Worldwide Population'!$1:$1,0))/10^6</f>
        <v>482.50219248648699</v>
      </c>
      <c r="L111" s="1">
        <f t="shared" si="7"/>
        <v>126.98413941574444</v>
      </c>
      <c r="M111" s="1">
        <f t="shared" si="8"/>
        <v>5800.0554763823666</v>
      </c>
      <c r="N111" s="1">
        <f t="shared" si="9"/>
        <v>43.96757963899698</v>
      </c>
      <c r="O111" s="1">
        <f>INDEX('USA Population'!110:110,1,MATCH(O$2,'USA Population'!$1:$1,0))/10^6</f>
        <v>70.379476526247288</v>
      </c>
      <c r="P111" s="1">
        <f>INDEX('USA Population'!110:110,1,MATCH(P$2,'USA Population'!$1:$1,0))/10^6</f>
        <v>64.880328537143996</v>
      </c>
      <c r="Q111" s="1">
        <f>INDEX('USA Population'!110:110,1,MATCH(Q$2,'USA Population'!$1:$1,0))/10^6</f>
        <v>48.596972644136301</v>
      </c>
      <c r="R111" s="1">
        <f>INDEX('USA Population'!110:110,1,MATCH(R$2,'USA Population'!$1:$1,0))/10^6</f>
        <v>55.211468151854795</v>
      </c>
      <c r="S111" s="1">
        <f>INDEX('USA Population'!110:110,1,MATCH(S$2,'USA Population'!$1:$1,0))/10^6</f>
        <v>151.51253670270299</v>
      </c>
    </row>
    <row r="112" spans="1:19" x14ac:dyDescent="0.3">
      <c r="A112" s="54">
        <v>44743</v>
      </c>
      <c r="B112" s="55">
        <f t="shared" si="6"/>
        <v>2022</v>
      </c>
      <c r="C112" s="1">
        <v>716.17979311714669</v>
      </c>
      <c r="D112" s="1">
        <f>D111*(1+'Summary_Population World_USA'!$V$7)</f>
        <v>47805.591670450936</v>
      </c>
      <c r="E112" s="1">
        <f>E111*(1+'Summary_Population World_USA'!$V$8)</f>
        <v>716.17979311714669</v>
      </c>
      <c r="F112" s="1">
        <f>INDEX('Worldwide Population'!111:111,1,MATCH(F$2,'Worldwide Population'!$1:$1,0))/10^6</f>
        <v>212.037680936881</v>
      </c>
      <c r="G112" s="1">
        <f>INDEX('Worldwide Population'!111:111,1,MATCH(G$2,'Worldwide Population'!$1:$1,0))/10^6</f>
        <v>229.918153831979</v>
      </c>
      <c r="H112" s="1">
        <f>INDEX('Worldwide Population'!111:111,1,MATCH(H$2,'Worldwide Population'!$1:$1,0))/10^6</f>
        <v>146.93008650818101</v>
      </c>
      <c r="I112" s="1">
        <f>INDEX('Worldwide Population'!111:111,1,MATCH(I$2,'Worldwide Population'!$1:$1,0))/10^6</f>
        <v>194.57934335239099</v>
      </c>
      <c r="J112" s="1">
        <f>INDEX('Worldwide Population'!111:111,1,MATCH(J$2,'Worldwide Population'!$1:$1,0))/10^6</f>
        <v>485.67672724324296</v>
      </c>
      <c r="L112" s="1">
        <f t="shared" si="7"/>
        <v>128.91236276108643</v>
      </c>
      <c r="M112" s="1">
        <f t="shared" si="8"/>
        <v>6064.6827228133479</v>
      </c>
      <c r="N112" s="1">
        <f t="shared" si="9"/>
        <v>43.959850522976012</v>
      </c>
      <c r="O112" s="1">
        <f>INDEX('USA Population'!111:111,1,MATCH(O$2,'USA Population'!$1:$1,0))/10^6</f>
        <v>70.437213705044002</v>
      </c>
      <c r="P112" s="1">
        <f>INDEX('USA Population'!111:111,1,MATCH(P$2,'USA Population'!$1:$1,0))/10^6</f>
        <v>64.886093776616292</v>
      </c>
      <c r="Q112" s="1">
        <f>INDEX('USA Population'!111:111,1,MATCH(Q$2,'USA Population'!$1:$1,0))/10^6</f>
        <v>48.606320489316801</v>
      </c>
      <c r="R112" s="1">
        <f>INDEX('USA Population'!111:111,1,MATCH(R$2,'USA Population'!$1:$1,0))/10^6</f>
        <v>55.212071474819695</v>
      </c>
      <c r="S112" s="1">
        <f>INDEX('USA Population'!111:111,1,MATCH(S$2,'USA Population'!$1:$1,0))/10^6</f>
        <v>152.491383351351</v>
      </c>
    </row>
    <row r="113" spans="1:19" x14ac:dyDescent="0.3">
      <c r="A113" s="54">
        <v>44774</v>
      </c>
      <c r="B113" s="55">
        <f t="shared" si="6"/>
        <v>2022</v>
      </c>
      <c r="C113" s="1">
        <v>727.05480950033029</v>
      </c>
      <c r="D113" s="1">
        <f>D112*(1+'Summary_Population World_USA'!$V$7)</f>
        <v>50420.802704501555</v>
      </c>
      <c r="E113" s="1">
        <f>E112*(1+'Summary_Population World_USA'!$V$8)</f>
        <v>727.05480950033029</v>
      </c>
      <c r="F113" s="1">
        <f>INDEX('Worldwide Population'!112:112,1,MATCH(F$2,'Worldwide Population'!$1:$1,0))/10^6</f>
        <v>212.22133129977598</v>
      </c>
      <c r="G113" s="1">
        <f>INDEX('Worldwide Population'!112:112,1,MATCH(G$2,'Worldwide Population'!$1:$1,0))/10^6</f>
        <v>229.959636771649</v>
      </c>
      <c r="H113" s="1">
        <f>INDEX('Worldwide Population'!112:112,1,MATCH(H$2,'Worldwide Population'!$1:$1,0))/10^6</f>
        <v>146.95548999797202</v>
      </c>
      <c r="I113" s="1">
        <f>INDEX('Worldwide Population'!112:112,1,MATCH(I$2,'Worldwide Population'!$1:$1,0))/10^6</f>
        <v>194.601038741369</v>
      </c>
      <c r="J113" s="1">
        <f>INDEX('Worldwide Population'!112:112,1,MATCH(J$2,'Worldwide Population'!$1:$1,0))/10^6</f>
        <v>488.85126200000002</v>
      </c>
      <c r="L113" s="1">
        <f t="shared" si="7"/>
        <v>130.86986571005949</v>
      </c>
      <c r="M113" s="1">
        <f t="shared" si="8"/>
        <v>6341.3835743742793</v>
      </c>
      <c r="N113" s="1">
        <f t="shared" si="9"/>
        <v>43.952122765666047</v>
      </c>
      <c r="O113" s="1">
        <f>INDEX('USA Population'!112:112,1,MATCH(O$2,'USA Population'!$1:$1,0))/10^6</f>
        <v>70.4937228559549</v>
      </c>
      <c r="P113" s="1">
        <f>INDEX('USA Population'!112:112,1,MATCH(P$2,'USA Population'!$1:$1,0))/10^6</f>
        <v>64.891586391564203</v>
      </c>
      <c r="Q113" s="1">
        <f>INDEX('USA Population'!112:112,1,MATCH(Q$2,'USA Population'!$1:$1,0))/10^6</f>
        <v>48.615481376571701</v>
      </c>
      <c r="R113" s="1">
        <f>INDEX('USA Population'!112:112,1,MATCH(R$2,'USA Population'!$1:$1,0))/10^6</f>
        <v>55.212636865445297</v>
      </c>
      <c r="S113" s="1">
        <f>INDEX('USA Population'!112:112,1,MATCH(S$2,'USA Population'!$1:$1,0))/10^6</f>
        <v>153.47022999999999</v>
      </c>
    </row>
    <row r="114" spans="1:19" x14ac:dyDescent="0.3">
      <c r="A114" s="54">
        <v>44805</v>
      </c>
      <c r="B114" s="55">
        <f t="shared" si="6"/>
        <v>2022</v>
      </c>
      <c r="C114" s="1">
        <v>738.09496036855683</v>
      </c>
      <c r="D114" s="1">
        <f>D113*(1+'Summary_Population World_USA'!$V$7)</f>
        <v>53179.079194153412</v>
      </c>
      <c r="E114" s="1">
        <f>E113*(1+'Summary_Population World_USA'!$V$8)</f>
        <v>738.09496036855683</v>
      </c>
      <c r="F114" s="1">
        <f>INDEX('Worldwide Population'!113:113,1,MATCH(F$2,'Worldwide Population'!$1:$1,0))/10^6</f>
        <v>212.40130862644</v>
      </c>
      <c r="G114" s="1">
        <f>INDEX('Worldwide Population'!113:113,1,MATCH(G$2,'Worldwide Population'!$1:$1,0))/10^6</f>
        <v>229.99934388079802</v>
      </c>
      <c r="H114" s="1">
        <f>INDEX('Worldwide Population'!113:113,1,MATCH(H$2,'Worldwide Population'!$1:$1,0))/10^6</f>
        <v>146.980385411242</v>
      </c>
      <c r="I114" s="1">
        <f>INDEX('Worldwide Population'!113:113,1,MATCH(I$2,'Worldwide Population'!$1:$1,0))/10^6</f>
        <v>194.62179190077401</v>
      </c>
      <c r="J114" s="1">
        <f>INDEX('Worldwide Population'!113:113,1,MATCH(J$2,'Worldwide Population'!$1:$1,0))/10^6</f>
        <v>492.02579675675702</v>
      </c>
      <c r="L114" s="1">
        <f t="shared" si="7"/>
        <v>132.85709286634025</v>
      </c>
      <c r="M114" s="1">
        <f t="shared" si="8"/>
        <v>6630.7088887066157</v>
      </c>
      <c r="N114" s="1">
        <f t="shared" si="9"/>
        <v>43.944396366828244</v>
      </c>
      <c r="O114" s="1">
        <f>INDEX('USA Population'!113:113,1,MATCH(O$2,'USA Population'!$1:$1,0))/10^6</f>
        <v>70.549030098241701</v>
      </c>
      <c r="P114" s="1">
        <f>INDEX('USA Population'!113:113,1,MATCH(P$2,'USA Population'!$1:$1,0))/10^6</f>
        <v>64.896819252251802</v>
      </c>
      <c r="Q114" s="1">
        <f>INDEX('USA Population'!113:113,1,MATCH(Q$2,'USA Population'!$1:$1,0))/10^6</f>
        <v>48.624459045080002</v>
      </c>
      <c r="R114" s="1">
        <f>INDEX('USA Population'!113:113,1,MATCH(R$2,'USA Population'!$1:$1,0))/10^6</f>
        <v>55.213166708330995</v>
      </c>
      <c r="S114" s="1">
        <f>INDEX('USA Population'!113:113,1,MATCH(S$2,'USA Population'!$1:$1,0))/10^6</f>
        <v>154.449076648649</v>
      </c>
    </row>
    <row r="115" spans="1:19" x14ac:dyDescent="0.3">
      <c r="A115" s="54">
        <v>44835</v>
      </c>
      <c r="B115" s="55">
        <f t="shared" si="6"/>
        <v>2022</v>
      </c>
      <c r="C115" s="1">
        <v>749.30275324891295</v>
      </c>
      <c r="D115" s="1">
        <f>D114*(1+'Summary_Population World_USA'!$V$7)</f>
        <v>56088.247553535206</v>
      </c>
      <c r="E115" s="1">
        <f>E114*(1+'Summary_Population World_USA'!$V$8)</f>
        <v>749.30275324891295</v>
      </c>
      <c r="F115" s="1">
        <f>INDEX('Worldwide Population'!114:114,1,MATCH(F$2,'Worldwide Population'!$1:$1,0))/10^6</f>
        <v>212.57768637817901</v>
      </c>
      <c r="G115" s="1">
        <f>INDEX('Worldwide Population'!114:114,1,MATCH(G$2,'Worldwide Population'!$1:$1,0))/10^6</f>
        <v>230.03735089205802</v>
      </c>
      <c r="H115" s="1">
        <f>INDEX('Worldwide Population'!114:114,1,MATCH(H$2,'Worldwide Population'!$1:$1,0))/10^6</f>
        <v>147.004782909657</v>
      </c>
      <c r="I115" s="1">
        <f>INDEX('Worldwide Population'!114:114,1,MATCH(I$2,'Worldwide Population'!$1:$1,0))/10^6</f>
        <v>194.64164368798899</v>
      </c>
      <c r="J115" s="1">
        <f>INDEX('Worldwide Population'!114:114,1,MATCH(J$2,'Worldwide Population'!$1:$1,0))/10^6</f>
        <v>495.20033151351396</v>
      </c>
      <c r="L115" s="1">
        <f t="shared" si="7"/>
        <v>134.87449558480438</v>
      </c>
      <c r="M115" s="1">
        <f t="shared" si="8"/>
        <v>6933.2346563046685</v>
      </c>
      <c r="N115" s="1">
        <f t="shared" si="9"/>
        <v>43.936671326223788</v>
      </c>
      <c r="O115" s="1">
        <f>INDEX('USA Population'!114:114,1,MATCH(O$2,'USA Population'!$1:$1,0))/10^6</f>
        <v>70.6031609956285</v>
      </c>
      <c r="P115" s="1">
        <f>INDEX('USA Population'!114:114,1,MATCH(P$2,'USA Population'!$1:$1,0))/10^6</f>
        <v>64.901804623343395</v>
      </c>
      <c r="Q115" s="1">
        <f>INDEX('USA Population'!114:114,1,MATCH(Q$2,'USA Population'!$1:$1,0))/10^6</f>
        <v>48.6332571592365</v>
      </c>
      <c r="R115" s="1">
        <f>INDEX('USA Population'!114:114,1,MATCH(R$2,'USA Population'!$1:$1,0))/10^6</f>
        <v>55.2136632382051</v>
      </c>
      <c r="S115" s="1">
        <f>INDEX('USA Population'!114:114,1,MATCH(S$2,'USA Population'!$1:$1,0))/10^6</f>
        <v>155.42792329729701</v>
      </c>
    </row>
    <row r="116" spans="1:19" x14ac:dyDescent="0.3">
      <c r="A116" s="54">
        <v>44866</v>
      </c>
      <c r="B116" s="55">
        <f t="shared" si="6"/>
        <v>2022</v>
      </c>
      <c r="C116" s="1">
        <v>760.68073374467599</v>
      </c>
      <c r="D116" s="1">
        <f>D115*(1+'Summary_Population World_USA'!$V$7)</f>
        <v>59156.562341766003</v>
      </c>
      <c r="E116" s="1">
        <f>E115*(1+'Summary_Population World_USA'!$V$8)</f>
        <v>760.68073374467599</v>
      </c>
      <c r="F116" s="1">
        <f>INDEX('Worldwide Population'!115:115,1,MATCH(F$2,'Worldwide Population'!$1:$1,0))/10^6</f>
        <v>212.75053654705798</v>
      </c>
      <c r="G116" s="1">
        <f>INDEX('Worldwide Population'!115:115,1,MATCH(G$2,'Worldwide Population'!$1:$1,0))/10^6</f>
        <v>230.073730332601</v>
      </c>
      <c r="H116" s="1">
        <f>INDEX('Worldwide Population'!115:115,1,MATCH(H$2,'Worldwide Population'!$1:$1,0))/10^6</f>
        <v>147.02869245164499</v>
      </c>
      <c r="I116" s="1">
        <f>INDEX('Worldwide Population'!115:115,1,MATCH(I$2,'Worldwide Population'!$1:$1,0))/10^6</f>
        <v>194.66063319413598</v>
      </c>
      <c r="J116" s="1">
        <f>INDEX('Worldwide Population'!115:115,1,MATCH(J$2,'Worldwide Population'!$1:$1,0))/10^6</f>
        <v>498.37486627026999</v>
      </c>
      <c r="L116" s="1">
        <f t="shared" si="7"/>
        <v>136.92253207404173</v>
      </c>
      <c r="M116" s="1">
        <f t="shared" si="8"/>
        <v>7249.563147200779</v>
      </c>
      <c r="N116" s="1">
        <f t="shared" si="9"/>
        <v>43.928947643613924</v>
      </c>
      <c r="O116" s="1">
        <f>INDEX('USA Population'!115:115,1,MATCH(O$2,'USA Population'!$1:$1,0))/10^6</f>
        <v>70.656140568117394</v>
      </c>
      <c r="P116" s="1">
        <f>INDEX('USA Population'!115:115,1,MATCH(P$2,'USA Population'!$1:$1,0))/10^6</f>
        <v>64.906554192215395</v>
      </c>
      <c r="Q116" s="1">
        <f>INDEX('USA Population'!115:115,1,MATCH(Q$2,'USA Population'!$1:$1,0))/10^6</f>
        <v>48.641879310147999</v>
      </c>
      <c r="R116" s="1">
        <f>INDEX('USA Population'!115:115,1,MATCH(R$2,'USA Population'!$1:$1,0))/10^6</f>
        <v>55.2141285493407</v>
      </c>
      <c r="S116" s="1">
        <f>INDEX('USA Population'!115:115,1,MATCH(S$2,'USA Population'!$1:$1,0))/10^6</f>
        <v>156.406769945946</v>
      </c>
    </row>
    <row r="117" spans="1:19" x14ac:dyDescent="0.3">
      <c r="A117" s="54">
        <v>44896</v>
      </c>
      <c r="B117" s="55">
        <f t="shared" si="6"/>
        <v>2022</v>
      </c>
      <c r="C117" s="1">
        <v>772.2314861134912</v>
      </c>
      <c r="D117" s="1">
        <f>D116*(1+'Summary_Population World_USA'!$V$7)</f>
        <v>62392.729684681988</v>
      </c>
      <c r="E117" s="1">
        <f>E116*(1+'Summary_Population World_USA'!$V$8)</f>
        <v>772.2314861134912</v>
      </c>
      <c r="F117" s="1">
        <f>INDEX('Worldwide Population'!116:116,1,MATCH(F$2,'Worldwide Population'!$1:$1,0))/10^6</f>
        <v>212.919929685292</v>
      </c>
      <c r="G117" s="1">
        <f>INDEX('Worldwide Population'!116:116,1,MATCH(G$2,'Worldwide Population'!$1:$1,0))/10^6</f>
        <v>230.108551657769</v>
      </c>
      <c r="H117" s="1">
        <f>INDEX('Worldwide Population'!116:116,1,MATCH(H$2,'Worldwide Population'!$1:$1,0))/10^6</f>
        <v>147.052123796464</v>
      </c>
      <c r="I117" s="1">
        <f>INDEX('Worldwide Population'!116:116,1,MATCH(I$2,'Worldwide Population'!$1:$1,0))/10^6</f>
        <v>194.67879781997001</v>
      </c>
      <c r="J117" s="1">
        <f>INDEX('Worldwide Population'!116:116,1,MATCH(J$2,'Worldwide Population'!$1:$1,0))/10^6</f>
        <v>501.54940102702699</v>
      </c>
      <c r="L117" s="1">
        <f t="shared" si="7"/>
        <v>139.00166750042845</v>
      </c>
      <c r="M117" s="1">
        <f t="shared" si="8"/>
        <v>7580.3241099679544</v>
      </c>
      <c r="N117" s="1">
        <f t="shared" si="9"/>
        <v>43.921225318759923</v>
      </c>
      <c r="O117" s="1">
        <f>INDEX('USA Population'!116:116,1,MATCH(O$2,'USA Population'!$1:$1,0))/10^6</f>
        <v>70.707993303553508</v>
      </c>
      <c r="P117" s="1">
        <f>INDEX('USA Population'!116:116,1,MATCH(P$2,'USA Population'!$1:$1,0))/10^6</f>
        <v>64.911079095961398</v>
      </c>
      <c r="Q117" s="1">
        <f>INDEX('USA Population'!116:116,1,MATCH(Q$2,'USA Population'!$1:$1,0))/10^6</f>
        <v>48.6503290170985</v>
      </c>
      <c r="R117" s="1">
        <f>INDEX('USA Population'!116:116,1,MATCH(R$2,'USA Population'!$1:$1,0))/10^6</f>
        <v>55.214564604378801</v>
      </c>
      <c r="S117" s="1">
        <f>INDEX('USA Population'!116:116,1,MATCH(S$2,'USA Population'!$1:$1,0))/10^6</f>
        <v>157.38561659459498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6"/>
  <sheetViews>
    <sheetView workbookViewId="0">
      <selection activeCell="J2" sqref="J2"/>
    </sheetView>
  </sheetViews>
  <sheetFormatPr defaultRowHeight="14.4" x14ac:dyDescent="0.3"/>
  <cols>
    <col min="1" max="1" width="10.77734375" bestFit="1" customWidth="1"/>
    <col min="2" max="2" width="16.77734375" bestFit="1" customWidth="1"/>
    <col min="3" max="3" width="10.77734375" bestFit="1" customWidth="1"/>
    <col min="4" max="4" width="16.77734375" bestFit="1" customWidth="1"/>
    <col min="5" max="5" width="10.77734375" bestFit="1" customWidth="1"/>
    <col min="6" max="6" width="16.77734375" bestFit="1" customWidth="1"/>
    <col min="7" max="7" width="10.77734375" bestFit="1" customWidth="1"/>
    <col min="8" max="8" width="16.77734375" bestFit="1" customWidth="1"/>
    <col min="9" max="9" width="10.77734375" bestFit="1" customWidth="1"/>
    <col min="10" max="10" width="16.77734375" bestFit="1" customWidth="1"/>
  </cols>
  <sheetData>
    <row r="1" spans="1:10" x14ac:dyDescent="0.3">
      <c r="A1" t="s">
        <v>379</v>
      </c>
      <c r="B1" t="s">
        <v>370</v>
      </c>
      <c r="C1" t="s">
        <v>379</v>
      </c>
      <c r="D1" t="s">
        <v>374</v>
      </c>
      <c r="E1" t="s">
        <v>379</v>
      </c>
      <c r="F1" t="s">
        <v>371</v>
      </c>
      <c r="G1" t="s">
        <v>379</v>
      </c>
      <c r="H1" t="s">
        <v>373</v>
      </c>
      <c r="I1" t="s">
        <v>379</v>
      </c>
      <c r="J1" t="s">
        <v>372</v>
      </c>
    </row>
    <row r="2" spans="1:10" x14ac:dyDescent="0.3">
      <c r="A2">
        <v>1</v>
      </c>
      <c r="B2" s="55" t="s">
        <v>380</v>
      </c>
      <c r="C2">
        <v>1</v>
      </c>
      <c r="D2" s="55" t="s">
        <v>495</v>
      </c>
      <c r="E2">
        <v>1</v>
      </c>
      <c r="F2" s="55" t="s">
        <v>610</v>
      </c>
      <c r="G2">
        <v>1</v>
      </c>
      <c r="H2" s="55" t="s">
        <v>1305</v>
      </c>
      <c r="I2">
        <v>1</v>
      </c>
      <c r="J2" s="55" t="s">
        <v>725</v>
      </c>
    </row>
    <row r="3" spans="1:10" x14ac:dyDescent="0.3">
      <c r="A3">
        <v>2</v>
      </c>
      <c r="B3" s="55" t="s">
        <v>381</v>
      </c>
      <c r="C3">
        <v>2</v>
      </c>
      <c r="D3" s="55" t="s">
        <v>496</v>
      </c>
      <c r="E3">
        <v>2</v>
      </c>
      <c r="F3" s="55" t="s">
        <v>611</v>
      </c>
      <c r="G3">
        <v>2</v>
      </c>
      <c r="H3" s="55" t="s">
        <v>1306</v>
      </c>
      <c r="I3">
        <v>2</v>
      </c>
      <c r="J3" s="55" t="s">
        <v>726</v>
      </c>
    </row>
    <row r="4" spans="1:10" x14ac:dyDescent="0.3">
      <c r="A4">
        <v>3</v>
      </c>
      <c r="B4" s="55" t="s">
        <v>382</v>
      </c>
      <c r="C4">
        <v>3</v>
      </c>
      <c r="D4" s="55" t="s">
        <v>497</v>
      </c>
      <c r="E4">
        <v>3</v>
      </c>
      <c r="F4" s="55" t="s">
        <v>612</v>
      </c>
      <c r="G4">
        <v>3</v>
      </c>
      <c r="H4" s="55" t="s">
        <v>1307</v>
      </c>
      <c r="I4">
        <v>3</v>
      </c>
      <c r="J4" s="55" t="s">
        <v>727</v>
      </c>
    </row>
    <row r="5" spans="1:10" x14ac:dyDescent="0.3">
      <c r="A5">
        <v>4</v>
      </c>
      <c r="B5" s="55" t="s">
        <v>383</v>
      </c>
      <c r="C5">
        <v>4</v>
      </c>
      <c r="D5" s="55" t="s">
        <v>498</v>
      </c>
      <c r="E5">
        <v>4</v>
      </c>
      <c r="F5" s="55" t="s">
        <v>613</v>
      </c>
      <c r="G5">
        <v>4</v>
      </c>
      <c r="H5" s="55" t="s">
        <v>1308</v>
      </c>
      <c r="I5">
        <v>4</v>
      </c>
      <c r="J5" s="55" t="s">
        <v>728</v>
      </c>
    </row>
    <row r="6" spans="1:10" x14ac:dyDescent="0.3">
      <c r="A6">
        <v>5</v>
      </c>
      <c r="B6" s="55" t="s">
        <v>384</v>
      </c>
      <c r="C6">
        <v>5</v>
      </c>
      <c r="D6" s="55" t="s">
        <v>499</v>
      </c>
      <c r="E6">
        <v>5</v>
      </c>
      <c r="F6" s="55" t="s">
        <v>614</v>
      </c>
      <c r="G6">
        <v>5</v>
      </c>
      <c r="H6" s="55" t="s">
        <v>1309</v>
      </c>
      <c r="I6">
        <v>5</v>
      </c>
      <c r="J6" s="55" t="s">
        <v>729</v>
      </c>
    </row>
    <row r="7" spans="1:10" x14ac:dyDescent="0.3">
      <c r="A7">
        <v>6</v>
      </c>
      <c r="B7" s="55" t="s">
        <v>385</v>
      </c>
      <c r="C7">
        <v>6</v>
      </c>
      <c r="D7" s="55" t="s">
        <v>500</v>
      </c>
      <c r="E7">
        <v>6</v>
      </c>
      <c r="F7" s="55" t="s">
        <v>615</v>
      </c>
      <c r="G7">
        <v>6</v>
      </c>
      <c r="H7" s="55" t="s">
        <v>1310</v>
      </c>
      <c r="I7">
        <v>6</v>
      </c>
      <c r="J7" s="55" t="s">
        <v>730</v>
      </c>
    </row>
    <row r="8" spans="1:10" x14ac:dyDescent="0.3">
      <c r="A8">
        <v>7</v>
      </c>
      <c r="B8" s="55" t="s">
        <v>386</v>
      </c>
      <c r="C8">
        <v>7</v>
      </c>
      <c r="D8" s="55" t="s">
        <v>501</v>
      </c>
      <c r="E8">
        <v>7</v>
      </c>
      <c r="F8" s="55" t="s">
        <v>616</v>
      </c>
      <c r="G8">
        <v>7</v>
      </c>
      <c r="H8" s="55" t="s">
        <v>1311</v>
      </c>
      <c r="I8">
        <v>7</v>
      </c>
      <c r="J8" s="55" t="s">
        <v>731</v>
      </c>
    </row>
    <row r="9" spans="1:10" x14ac:dyDescent="0.3">
      <c r="A9">
        <v>8</v>
      </c>
      <c r="B9" s="55" t="s">
        <v>387</v>
      </c>
      <c r="C9">
        <v>8</v>
      </c>
      <c r="D9" s="55" t="s">
        <v>502</v>
      </c>
      <c r="E9">
        <v>8</v>
      </c>
      <c r="F9" s="55" t="s">
        <v>617</v>
      </c>
      <c r="G9">
        <v>8</v>
      </c>
      <c r="H9" s="55" t="s">
        <v>1312</v>
      </c>
      <c r="I9">
        <v>8</v>
      </c>
      <c r="J9" s="55" t="s">
        <v>732</v>
      </c>
    </row>
    <row r="10" spans="1:10" x14ac:dyDescent="0.3">
      <c r="A10">
        <v>9</v>
      </c>
      <c r="B10" s="55" t="s">
        <v>388</v>
      </c>
      <c r="C10">
        <v>9</v>
      </c>
      <c r="D10" s="55" t="s">
        <v>503</v>
      </c>
      <c r="E10">
        <v>9</v>
      </c>
      <c r="F10" s="55" t="s">
        <v>618</v>
      </c>
      <c r="G10">
        <v>9</v>
      </c>
      <c r="H10" s="55" t="s">
        <v>1313</v>
      </c>
      <c r="I10">
        <v>9</v>
      </c>
      <c r="J10" s="55" t="s">
        <v>733</v>
      </c>
    </row>
    <row r="11" spans="1:10" x14ac:dyDescent="0.3">
      <c r="A11">
        <v>10</v>
      </c>
      <c r="B11" s="55" t="s">
        <v>389</v>
      </c>
      <c r="C11">
        <v>10</v>
      </c>
      <c r="D11" s="55" t="s">
        <v>504</v>
      </c>
      <c r="E11">
        <v>10</v>
      </c>
      <c r="F11" s="55" t="s">
        <v>619</v>
      </c>
      <c r="G11">
        <v>10</v>
      </c>
      <c r="H11" s="55" t="s">
        <v>1314</v>
      </c>
      <c r="I11">
        <v>10</v>
      </c>
      <c r="J11" s="55" t="s">
        <v>734</v>
      </c>
    </row>
    <row r="12" spans="1:10" x14ac:dyDescent="0.3">
      <c r="A12">
        <v>11</v>
      </c>
      <c r="B12" s="55" t="s">
        <v>390</v>
      </c>
      <c r="C12">
        <v>11</v>
      </c>
      <c r="D12" s="55" t="s">
        <v>505</v>
      </c>
      <c r="E12">
        <v>11</v>
      </c>
      <c r="F12" s="55" t="s">
        <v>620</v>
      </c>
      <c r="G12">
        <v>11</v>
      </c>
      <c r="H12" s="55" t="s">
        <v>1315</v>
      </c>
      <c r="I12">
        <v>11</v>
      </c>
      <c r="J12" s="55" t="s">
        <v>735</v>
      </c>
    </row>
    <row r="13" spans="1:10" x14ac:dyDescent="0.3">
      <c r="A13">
        <v>12</v>
      </c>
      <c r="B13" s="55" t="s">
        <v>391</v>
      </c>
      <c r="C13">
        <v>12</v>
      </c>
      <c r="D13" s="55" t="s">
        <v>506</v>
      </c>
      <c r="E13">
        <v>12</v>
      </c>
      <c r="F13" s="55" t="s">
        <v>621</v>
      </c>
      <c r="G13">
        <v>12</v>
      </c>
      <c r="H13" s="55" t="s">
        <v>1316</v>
      </c>
      <c r="I13">
        <v>12</v>
      </c>
      <c r="J13" s="55" t="s">
        <v>736</v>
      </c>
    </row>
    <row r="14" spans="1:10" x14ac:dyDescent="0.3">
      <c r="A14">
        <v>13</v>
      </c>
      <c r="B14" s="55" t="s">
        <v>392</v>
      </c>
      <c r="C14">
        <v>13</v>
      </c>
      <c r="D14" s="55" t="s">
        <v>507</v>
      </c>
      <c r="E14">
        <v>13</v>
      </c>
      <c r="F14" s="55" t="s">
        <v>622</v>
      </c>
      <c r="G14">
        <v>13</v>
      </c>
      <c r="H14" s="55" t="s">
        <v>1317</v>
      </c>
      <c r="I14">
        <v>13</v>
      </c>
      <c r="J14" s="55" t="s">
        <v>737</v>
      </c>
    </row>
    <row r="15" spans="1:10" x14ac:dyDescent="0.3">
      <c r="A15">
        <v>14</v>
      </c>
      <c r="B15" s="55" t="s">
        <v>393</v>
      </c>
      <c r="C15">
        <v>14</v>
      </c>
      <c r="D15" s="55" t="s">
        <v>508</v>
      </c>
      <c r="E15">
        <v>14</v>
      </c>
      <c r="F15" s="55" t="s">
        <v>623</v>
      </c>
      <c r="G15">
        <v>14</v>
      </c>
      <c r="H15" s="55" t="s">
        <v>1318</v>
      </c>
      <c r="I15">
        <v>14</v>
      </c>
      <c r="J15" s="55" t="s">
        <v>738</v>
      </c>
    </row>
    <row r="16" spans="1:10" x14ac:dyDescent="0.3">
      <c r="A16">
        <v>15</v>
      </c>
      <c r="B16" s="55" t="s">
        <v>394</v>
      </c>
      <c r="C16">
        <v>15</v>
      </c>
      <c r="D16" s="55" t="s">
        <v>509</v>
      </c>
      <c r="E16">
        <v>15</v>
      </c>
      <c r="F16" s="55" t="s">
        <v>624</v>
      </c>
      <c r="G16">
        <v>15</v>
      </c>
      <c r="H16" s="55" t="s">
        <v>1319</v>
      </c>
      <c r="I16">
        <v>15</v>
      </c>
      <c r="J16" s="55" t="s">
        <v>739</v>
      </c>
    </row>
    <row r="17" spans="1:10" x14ac:dyDescent="0.3">
      <c r="A17">
        <v>16</v>
      </c>
      <c r="B17" s="55" t="s">
        <v>395</v>
      </c>
      <c r="C17">
        <v>16</v>
      </c>
      <c r="D17" s="55" t="s">
        <v>510</v>
      </c>
      <c r="E17">
        <v>16</v>
      </c>
      <c r="F17" s="55" t="s">
        <v>625</v>
      </c>
      <c r="G17">
        <v>16</v>
      </c>
      <c r="H17" s="55" t="s">
        <v>1320</v>
      </c>
      <c r="I17">
        <v>16</v>
      </c>
      <c r="J17" s="55" t="s">
        <v>740</v>
      </c>
    </row>
    <row r="18" spans="1:10" x14ac:dyDescent="0.3">
      <c r="A18">
        <v>17</v>
      </c>
      <c r="B18" s="55" t="s">
        <v>396</v>
      </c>
      <c r="C18">
        <v>17</v>
      </c>
      <c r="D18" s="55" t="s">
        <v>511</v>
      </c>
      <c r="E18">
        <v>17</v>
      </c>
      <c r="F18" s="55" t="s">
        <v>626</v>
      </c>
      <c r="G18">
        <v>17</v>
      </c>
      <c r="H18" s="55" t="s">
        <v>1321</v>
      </c>
      <c r="I18">
        <v>17</v>
      </c>
      <c r="J18" s="55" t="s">
        <v>741</v>
      </c>
    </row>
    <row r="19" spans="1:10" x14ac:dyDescent="0.3">
      <c r="A19">
        <v>18</v>
      </c>
      <c r="B19" s="55" t="s">
        <v>397</v>
      </c>
      <c r="C19">
        <v>18</v>
      </c>
      <c r="D19" s="55" t="s">
        <v>512</v>
      </c>
      <c r="E19">
        <v>18</v>
      </c>
      <c r="F19" s="55" t="s">
        <v>627</v>
      </c>
      <c r="G19">
        <v>18</v>
      </c>
      <c r="H19" s="55" t="s">
        <v>1322</v>
      </c>
      <c r="I19">
        <v>18</v>
      </c>
      <c r="J19" s="55" t="s">
        <v>742</v>
      </c>
    </row>
    <row r="20" spans="1:10" x14ac:dyDescent="0.3">
      <c r="A20">
        <v>19</v>
      </c>
      <c r="B20" s="55" t="s">
        <v>398</v>
      </c>
      <c r="C20">
        <v>19</v>
      </c>
      <c r="D20" s="55" t="s">
        <v>513</v>
      </c>
      <c r="E20">
        <v>19</v>
      </c>
      <c r="F20" s="55" t="s">
        <v>628</v>
      </c>
      <c r="G20">
        <v>19</v>
      </c>
      <c r="H20" s="55" t="s">
        <v>1323</v>
      </c>
      <c r="I20">
        <v>19</v>
      </c>
      <c r="J20" s="55" t="s">
        <v>743</v>
      </c>
    </row>
    <row r="21" spans="1:10" x14ac:dyDescent="0.3">
      <c r="A21">
        <v>20</v>
      </c>
      <c r="B21" s="55" t="s">
        <v>399</v>
      </c>
      <c r="C21">
        <v>20</v>
      </c>
      <c r="D21" s="55" t="s">
        <v>514</v>
      </c>
      <c r="E21">
        <v>20</v>
      </c>
      <c r="F21" s="55" t="s">
        <v>629</v>
      </c>
      <c r="G21">
        <v>20</v>
      </c>
      <c r="H21" s="55" t="s">
        <v>1324</v>
      </c>
      <c r="I21">
        <v>20</v>
      </c>
      <c r="J21" s="55" t="s">
        <v>744</v>
      </c>
    </row>
    <row r="22" spans="1:10" x14ac:dyDescent="0.3">
      <c r="A22">
        <v>21</v>
      </c>
      <c r="B22" s="55" t="s">
        <v>400</v>
      </c>
      <c r="C22">
        <v>21</v>
      </c>
      <c r="D22" s="55" t="s">
        <v>515</v>
      </c>
      <c r="E22">
        <v>21</v>
      </c>
      <c r="F22" s="55" t="s">
        <v>630</v>
      </c>
      <c r="G22">
        <v>21</v>
      </c>
      <c r="H22" s="55" t="s">
        <v>1325</v>
      </c>
      <c r="I22">
        <v>21</v>
      </c>
      <c r="J22" s="55" t="s">
        <v>745</v>
      </c>
    </row>
    <row r="23" spans="1:10" x14ac:dyDescent="0.3">
      <c r="A23">
        <v>22</v>
      </c>
      <c r="B23" s="55" t="s">
        <v>401</v>
      </c>
      <c r="C23">
        <v>22</v>
      </c>
      <c r="D23" s="55" t="s">
        <v>516</v>
      </c>
      <c r="E23">
        <v>22</v>
      </c>
      <c r="F23" s="55" t="s">
        <v>631</v>
      </c>
      <c r="G23">
        <v>22</v>
      </c>
      <c r="H23" s="55" t="s">
        <v>1326</v>
      </c>
      <c r="I23">
        <v>22</v>
      </c>
      <c r="J23" s="55" t="s">
        <v>746</v>
      </c>
    </row>
    <row r="24" spans="1:10" x14ac:dyDescent="0.3">
      <c r="A24">
        <v>23</v>
      </c>
      <c r="B24" s="55" t="s">
        <v>402</v>
      </c>
      <c r="C24">
        <v>23</v>
      </c>
      <c r="D24" s="55" t="s">
        <v>517</v>
      </c>
      <c r="E24">
        <v>23</v>
      </c>
      <c r="F24" s="55" t="s">
        <v>632</v>
      </c>
      <c r="G24">
        <v>23</v>
      </c>
      <c r="H24" s="55" t="s">
        <v>1327</v>
      </c>
      <c r="I24">
        <v>23</v>
      </c>
      <c r="J24" s="55" t="s">
        <v>747</v>
      </c>
    </row>
    <row r="25" spans="1:10" x14ac:dyDescent="0.3">
      <c r="A25">
        <v>24</v>
      </c>
      <c r="B25" s="55" t="s">
        <v>403</v>
      </c>
      <c r="C25">
        <v>24</v>
      </c>
      <c r="D25" s="55" t="s">
        <v>518</v>
      </c>
      <c r="E25">
        <v>24</v>
      </c>
      <c r="F25" s="55" t="s">
        <v>633</v>
      </c>
      <c r="G25">
        <v>24</v>
      </c>
      <c r="H25" s="55" t="s">
        <v>1328</v>
      </c>
      <c r="I25">
        <v>24</v>
      </c>
      <c r="J25" s="55" t="s">
        <v>748</v>
      </c>
    </row>
    <row r="26" spans="1:10" x14ac:dyDescent="0.3">
      <c r="A26">
        <v>25</v>
      </c>
      <c r="B26" s="55" t="s">
        <v>404</v>
      </c>
      <c r="C26">
        <v>25</v>
      </c>
      <c r="D26" s="55" t="s">
        <v>519</v>
      </c>
      <c r="E26">
        <v>25</v>
      </c>
      <c r="F26" s="55" t="s">
        <v>634</v>
      </c>
      <c r="G26">
        <v>25</v>
      </c>
      <c r="H26" s="55" t="s">
        <v>1329</v>
      </c>
      <c r="I26">
        <v>25</v>
      </c>
      <c r="J26" s="55" t="s">
        <v>749</v>
      </c>
    </row>
    <row r="27" spans="1:10" x14ac:dyDescent="0.3">
      <c r="A27">
        <v>26</v>
      </c>
      <c r="B27" s="55" t="s">
        <v>405</v>
      </c>
      <c r="C27">
        <v>26</v>
      </c>
      <c r="D27" s="55" t="s">
        <v>520</v>
      </c>
      <c r="E27">
        <v>26</v>
      </c>
      <c r="F27" s="55" t="s">
        <v>635</v>
      </c>
      <c r="G27">
        <v>26</v>
      </c>
      <c r="H27" s="55" t="s">
        <v>1330</v>
      </c>
      <c r="I27">
        <v>26</v>
      </c>
      <c r="J27" s="55" t="s">
        <v>750</v>
      </c>
    </row>
    <row r="28" spans="1:10" x14ac:dyDescent="0.3">
      <c r="A28">
        <v>27</v>
      </c>
      <c r="B28" s="55" t="s">
        <v>406</v>
      </c>
      <c r="C28">
        <v>27</v>
      </c>
      <c r="D28" s="55" t="s">
        <v>521</v>
      </c>
      <c r="E28">
        <v>27</v>
      </c>
      <c r="F28" s="55" t="s">
        <v>636</v>
      </c>
      <c r="G28">
        <v>27</v>
      </c>
      <c r="H28" s="55" t="s">
        <v>1331</v>
      </c>
      <c r="I28">
        <v>27</v>
      </c>
      <c r="J28" s="55" t="s">
        <v>751</v>
      </c>
    </row>
    <row r="29" spans="1:10" x14ac:dyDescent="0.3">
      <c r="A29">
        <v>28</v>
      </c>
      <c r="B29" s="55" t="s">
        <v>407</v>
      </c>
      <c r="C29">
        <v>28</v>
      </c>
      <c r="D29" s="55" t="s">
        <v>522</v>
      </c>
      <c r="E29">
        <v>28</v>
      </c>
      <c r="F29" s="55" t="s">
        <v>637</v>
      </c>
      <c r="G29">
        <v>28</v>
      </c>
      <c r="H29" s="55" t="s">
        <v>1332</v>
      </c>
      <c r="I29">
        <v>28</v>
      </c>
      <c r="J29" s="55" t="s">
        <v>752</v>
      </c>
    </row>
    <row r="30" spans="1:10" x14ac:dyDescent="0.3">
      <c r="A30">
        <v>29</v>
      </c>
      <c r="B30" s="55" t="s">
        <v>408</v>
      </c>
      <c r="C30">
        <v>29</v>
      </c>
      <c r="D30" s="55" t="s">
        <v>523</v>
      </c>
      <c r="E30">
        <v>29</v>
      </c>
      <c r="F30" s="55" t="s">
        <v>638</v>
      </c>
      <c r="G30">
        <v>29</v>
      </c>
      <c r="H30" s="55" t="s">
        <v>1333</v>
      </c>
      <c r="I30">
        <v>29</v>
      </c>
      <c r="J30" s="55" t="s">
        <v>753</v>
      </c>
    </row>
    <row r="31" spans="1:10" x14ac:dyDescent="0.3">
      <c r="A31">
        <v>30</v>
      </c>
      <c r="B31" s="55" t="s">
        <v>409</v>
      </c>
      <c r="C31">
        <v>30</v>
      </c>
      <c r="D31" s="55" t="s">
        <v>524</v>
      </c>
      <c r="E31">
        <v>30</v>
      </c>
      <c r="F31" s="55" t="s">
        <v>639</v>
      </c>
      <c r="G31">
        <v>30</v>
      </c>
      <c r="H31" s="55" t="s">
        <v>1334</v>
      </c>
      <c r="I31">
        <v>30</v>
      </c>
      <c r="J31" s="55" t="s">
        <v>754</v>
      </c>
    </row>
    <row r="32" spans="1:10" x14ac:dyDescent="0.3">
      <c r="A32">
        <v>31</v>
      </c>
      <c r="B32" s="55" t="s">
        <v>410</v>
      </c>
      <c r="C32">
        <v>31</v>
      </c>
      <c r="D32" s="55" t="s">
        <v>525</v>
      </c>
      <c r="E32">
        <v>31</v>
      </c>
      <c r="F32" s="55" t="s">
        <v>640</v>
      </c>
      <c r="G32">
        <v>31</v>
      </c>
      <c r="H32" s="55" t="s">
        <v>1335</v>
      </c>
      <c r="I32">
        <v>31</v>
      </c>
      <c r="J32" s="55" t="s">
        <v>755</v>
      </c>
    </row>
    <row r="33" spans="1:10" x14ac:dyDescent="0.3">
      <c r="A33">
        <v>32</v>
      </c>
      <c r="B33" s="55" t="s">
        <v>411</v>
      </c>
      <c r="C33">
        <v>32</v>
      </c>
      <c r="D33" s="55" t="s">
        <v>526</v>
      </c>
      <c r="E33">
        <v>32</v>
      </c>
      <c r="F33" s="55" t="s">
        <v>641</v>
      </c>
      <c r="G33">
        <v>32</v>
      </c>
      <c r="H33" s="55" t="s">
        <v>1336</v>
      </c>
      <c r="I33">
        <v>32</v>
      </c>
      <c r="J33" s="55" t="s">
        <v>756</v>
      </c>
    </row>
    <row r="34" spans="1:10" x14ac:dyDescent="0.3">
      <c r="A34">
        <v>33</v>
      </c>
      <c r="B34" s="55" t="s">
        <v>412</v>
      </c>
      <c r="C34">
        <v>33</v>
      </c>
      <c r="D34" s="55" t="s">
        <v>527</v>
      </c>
      <c r="E34">
        <v>33</v>
      </c>
      <c r="F34" s="55" t="s">
        <v>642</v>
      </c>
      <c r="G34">
        <v>33</v>
      </c>
      <c r="H34" s="55" t="s">
        <v>1337</v>
      </c>
      <c r="I34">
        <v>33</v>
      </c>
      <c r="J34" s="55" t="s">
        <v>757</v>
      </c>
    </row>
    <row r="35" spans="1:10" x14ac:dyDescent="0.3">
      <c r="A35">
        <v>34</v>
      </c>
      <c r="B35" s="55" t="s">
        <v>413</v>
      </c>
      <c r="C35">
        <v>34</v>
      </c>
      <c r="D35" s="55" t="s">
        <v>528</v>
      </c>
      <c r="E35">
        <v>34</v>
      </c>
      <c r="F35" s="55" t="s">
        <v>643</v>
      </c>
      <c r="G35">
        <v>34</v>
      </c>
      <c r="H35" s="55" t="s">
        <v>1338</v>
      </c>
      <c r="I35">
        <v>34</v>
      </c>
      <c r="J35" s="55" t="s">
        <v>758</v>
      </c>
    </row>
    <row r="36" spans="1:10" x14ac:dyDescent="0.3">
      <c r="A36">
        <v>35</v>
      </c>
      <c r="B36" s="55" t="s">
        <v>414</v>
      </c>
      <c r="C36">
        <v>35</v>
      </c>
      <c r="D36" s="55" t="s">
        <v>529</v>
      </c>
      <c r="E36">
        <v>35</v>
      </c>
      <c r="F36" s="55" t="s">
        <v>644</v>
      </c>
      <c r="G36">
        <v>35</v>
      </c>
      <c r="H36" s="55" t="s">
        <v>1339</v>
      </c>
      <c r="I36">
        <v>35</v>
      </c>
      <c r="J36" s="55" t="s">
        <v>759</v>
      </c>
    </row>
    <row r="37" spans="1:10" x14ac:dyDescent="0.3">
      <c r="A37">
        <v>36</v>
      </c>
      <c r="B37" s="55" t="s">
        <v>415</v>
      </c>
      <c r="C37">
        <v>36</v>
      </c>
      <c r="D37" s="55" t="s">
        <v>530</v>
      </c>
      <c r="E37">
        <v>36</v>
      </c>
      <c r="F37" s="55" t="s">
        <v>645</v>
      </c>
      <c r="G37">
        <v>36</v>
      </c>
      <c r="H37" s="55" t="s">
        <v>1340</v>
      </c>
      <c r="I37">
        <v>36</v>
      </c>
      <c r="J37" s="55" t="s">
        <v>760</v>
      </c>
    </row>
    <row r="38" spans="1:10" x14ac:dyDescent="0.3">
      <c r="A38">
        <v>37</v>
      </c>
      <c r="B38" s="55" t="s">
        <v>416</v>
      </c>
      <c r="C38">
        <v>37</v>
      </c>
      <c r="D38" s="55" t="s">
        <v>531</v>
      </c>
      <c r="E38">
        <v>37</v>
      </c>
      <c r="F38" s="55" t="s">
        <v>646</v>
      </c>
      <c r="G38">
        <v>37</v>
      </c>
      <c r="H38" s="55" t="s">
        <v>1341</v>
      </c>
      <c r="I38">
        <v>37</v>
      </c>
      <c r="J38" s="55" t="s">
        <v>761</v>
      </c>
    </row>
    <row r="39" spans="1:10" x14ac:dyDescent="0.3">
      <c r="A39">
        <v>38</v>
      </c>
      <c r="B39" s="55" t="s">
        <v>417</v>
      </c>
      <c r="C39">
        <v>38</v>
      </c>
      <c r="D39" s="55" t="s">
        <v>532</v>
      </c>
      <c r="E39">
        <v>38</v>
      </c>
      <c r="F39" s="55" t="s">
        <v>647</v>
      </c>
      <c r="G39">
        <v>38</v>
      </c>
      <c r="H39" s="55" t="s">
        <v>1342</v>
      </c>
      <c r="I39">
        <v>38</v>
      </c>
      <c r="J39" s="55" t="s">
        <v>762</v>
      </c>
    </row>
    <row r="40" spans="1:10" x14ac:dyDescent="0.3">
      <c r="A40">
        <v>39</v>
      </c>
      <c r="B40" s="55" t="s">
        <v>418</v>
      </c>
      <c r="C40">
        <v>39</v>
      </c>
      <c r="D40" s="55" t="s">
        <v>533</v>
      </c>
      <c r="E40">
        <v>39</v>
      </c>
      <c r="F40" s="55" t="s">
        <v>648</v>
      </c>
      <c r="G40">
        <v>39</v>
      </c>
      <c r="H40" s="55" t="s">
        <v>1343</v>
      </c>
      <c r="I40">
        <v>39</v>
      </c>
      <c r="J40" s="55" t="s">
        <v>763</v>
      </c>
    </row>
    <row r="41" spans="1:10" x14ac:dyDescent="0.3">
      <c r="A41">
        <v>40</v>
      </c>
      <c r="B41" s="55" t="s">
        <v>419</v>
      </c>
      <c r="C41">
        <v>40</v>
      </c>
      <c r="D41" s="55" t="s">
        <v>534</v>
      </c>
      <c r="E41">
        <v>40</v>
      </c>
      <c r="F41" s="55" t="s">
        <v>649</v>
      </c>
      <c r="G41">
        <v>40</v>
      </c>
      <c r="H41" s="55" t="s">
        <v>1344</v>
      </c>
      <c r="I41">
        <v>40</v>
      </c>
      <c r="J41" s="55" t="s">
        <v>764</v>
      </c>
    </row>
    <row r="42" spans="1:10" x14ac:dyDescent="0.3">
      <c r="A42">
        <v>41</v>
      </c>
      <c r="B42" s="55" t="s">
        <v>420</v>
      </c>
      <c r="C42">
        <v>41</v>
      </c>
      <c r="D42" s="55" t="s">
        <v>535</v>
      </c>
      <c r="E42">
        <v>41</v>
      </c>
      <c r="F42" s="55" t="s">
        <v>650</v>
      </c>
      <c r="G42">
        <v>41</v>
      </c>
      <c r="H42" s="55" t="s">
        <v>1345</v>
      </c>
      <c r="I42">
        <v>41</v>
      </c>
      <c r="J42" s="55" t="s">
        <v>765</v>
      </c>
    </row>
    <row r="43" spans="1:10" x14ac:dyDescent="0.3">
      <c r="A43">
        <v>42</v>
      </c>
      <c r="B43" s="55" t="s">
        <v>421</v>
      </c>
      <c r="C43">
        <v>42</v>
      </c>
      <c r="D43" s="55" t="s">
        <v>536</v>
      </c>
      <c r="E43">
        <v>42</v>
      </c>
      <c r="F43" s="55" t="s">
        <v>651</v>
      </c>
      <c r="G43">
        <v>42</v>
      </c>
      <c r="H43" s="55" t="s">
        <v>1346</v>
      </c>
      <c r="I43">
        <v>42</v>
      </c>
      <c r="J43" s="55" t="s">
        <v>766</v>
      </c>
    </row>
    <row r="44" spans="1:10" x14ac:dyDescent="0.3">
      <c r="A44">
        <v>43</v>
      </c>
      <c r="B44" s="55" t="s">
        <v>422</v>
      </c>
      <c r="C44">
        <v>43</v>
      </c>
      <c r="D44" s="55" t="s">
        <v>537</v>
      </c>
      <c r="E44">
        <v>43</v>
      </c>
      <c r="F44" s="55" t="s">
        <v>652</v>
      </c>
      <c r="G44">
        <v>43</v>
      </c>
      <c r="H44" s="55" t="s">
        <v>1347</v>
      </c>
      <c r="I44">
        <v>43</v>
      </c>
      <c r="J44" s="55" t="s">
        <v>767</v>
      </c>
    </row>
    <row r="45" spans="1:10" x14ac:dyDescent="0.3">
      <c r="A45">
        <v>44</v>
      </c>
      <c r="B45" s="55" t="s">
        <v>423</v>
      </c>
      <c r="C45">
        <v>44</v>
      </c>
      <c r="D45" s="55" t="s">
        <v>538</v>
      </c>
      <c r="E45">
        <v>44</v>
      </c>
      <c r="F45" s="55" t="s">
        <v>653</v>
      </c>
      <c r="G45">
        <v>44</v>
      </c>
      <c r="H45" s="55" t="s">
        <v>1348</v>
      </c>
      <c r="I45">
        <v>44</v>
      </c>
      <c r="J45" s="55" t="s">
        <v>768</v>
      </c>
    </row>
    <row r="46" spans="1:10" x14ac:dyDescent="0.3">
      <c r="A46">
        <v>45</v>
      </c>
      <c r="B46" s="55" t="s">
        <v>424</v>
      </c>
      <c r="C46">
        <v>45</v>
      </c>
      <c r="D46" s="55" t="s">
        <v>539</v>
      </c>
      <c r="E46">
        <v>45</v>
      </c>
      <c r="F46" s="55" t="s">
        <v>654</v>
      </c>
      <c r="G46">
        <v>45</v>
      </c>
      <c r="H46" s="55" t="s">
        <v>1349</v>
      </c>
      <c r="I46">
        <v>45</v>
      </c>
      <c r="J46" s="55" t="s">
        <v>769</v>
      </c>
    </row>
    <row r="47" spans="1:10" x14ac:dyDescent="0.3">
      <c r="A47">
        <v>46</v>
      </c>
      <c r="B47" s="55" t="s">
        <v>425</v>
      </c>
      <c r="C47">
        <v>46</v>
      </c>
      <c r="D47" s="55" t="s">
        <v>540</v>
      </c>
      <c r="E47">
        <v>46</v>
      </c>
      <c r="F47" s="55" t="s">
        <v>655</v>
      </c>
      <c r="G47">
        <v>46</v>
      </c>
      <c r="H47" s="55" t="s">
        <v>1350</v>
      </c>
      <c r="I47">
        <v>46</v>
      </c>
      <c r="J47" s="55" t="s">
        <v>770</v>
      </c>
    </row>
    <row r="48" spans="1:10" x14ac:dyDescent="0.3">
      <c r="A48">
        <v>47</v>
      </c>
      <c r="B48" s="55" t="s">
        <v>426</v>
      </c>
      <c r="C48">
        <v>47</v>
      </c>
      <c r="D48" s="55" t="s">
        <v>541</v>
      </c>
      <c r="E48">
        <v>47</v>
      </c>
      <c r="F48" s="55" t="s">
        <v>656</v>
      </c>
      <c r="G48">
        <v>47</v>
      </c>
      <c r="H48" s="55" t="s">
        <v>1351</v>
      </c>
      <c r="I48">
        <v>47</v>
      </c>
      <c r="J48" s="55" t="s">
        <v>771</v>
      </c>
    </row>
    <row r="49" spans="1:10" x14ac:dyDescent="0.3">
      <c r="A49">
        <v>48</v>
      </c>
      <c r="B49" s="55" t="s">
        <v>427</v>
      </c>
      <c r="C49">
        <v>48</v>
      </c>
      <c r="D49" s="55" t="s">
        <v>542</v>
      </c>
      <c r="E49">
        <v>48</v>
      </c>
      <c r="F49" s="55" t="s">
        <v>657</v>
      </c>
      <c r="G49">
        <v>48</v>
      </c>
      <c r="H49" s="55" t="s">
        <v>1352</v>
      </c>
      <c r="I49">
        <v>48</v>
      </c>
      <c r="J49" s="55" t="s">
        <v>772</v>
      </c>
    </row>
    <row r="50" spans="1:10" x14ac:dyDescent="0.3">
      <c r="A50">
        <v>49</v>
      </c>
      <c r="B50" s="55" t="s">
        <v>428</v>
      </c>
      <c r="C50">
        <v>49</v>
      </c>
      <c r="D50" s="55" t="s">
        <v>543</v>
      </c>
      <c r="E50">
        <v>49</v>
      </c>
      <c r="F50" s="55" t="s">
        <v>658</v>
      </c>
      <c r="G50">
        <v>49</v>
      </c>
      <c r="H50" s="55" t="s">
        <v>1353</v>
      </c>
      <c r="I50">
        <v>49</v>
      </c>
      <c r="J50" s="55" t="s">
        <v>773</v>
      </c>
    </row>
    <row r="51" spans="1:10" x14ac:dyDescent="0.3">
      <c r="A51">
        <v>50</v>
      </c>
      <c r="B51" s="55" t="s">
        <v>429</v>
      </c>
      <c r="C51">
        <v>50</v>
      </c>
      <c r="D51" s="55" t="s">
        <v>544</v>
      </c>
      <c r="E51">
        <v>50</v>
      </c>
      <c r="F51" s="55" t="s">
        <v>659</v>
      </c>
      <c r="G51">
        <v>50</v>
      </c>
      <c r="H51" s="55" t="s">
        <v>1354</v>
      </c>
      <c r="I51">
        <v>50</v>
      </c>
      <c r="J51" s="55" t="s">
        <v>774</v>
      </c>
    </row>
    <row r="52" spans="1:10" x14ac:dyDescent="0.3">
      <c r="A52">
        <v>51</v>
      </c>
      <c r="B52" s="55" t="s">
        <v>430</v>
      </c>
      <c r="C52">
        <v>51</v>
      </c>
      <c r="D52" s="55" t="s">
        <v>545</v>
      </c>
      <c r="E52">
        <v>51</v>
      </c>
      <c r="F52" s="55" t="s">
        <v>660</v>
      </c>
      <c r="G52">
        <v>51</v>
      </c>
      <c r="H52" s="55" t="s">
        <v>1355</v>
      </c>
      <c r="I52">
        <v>51</v>
      </c>
      <c r="J52" s="55" t="s">
        <v>775</v>
      </c>
    </row>
    <row r="53" spans="1:10" x14ac:dyDescent="0.3">
      <c r="A53">
        <v>52</v>
      </c>
      <c r="B53" s="55" t="s">
        <v>431</v>
      </c>
      <c r="C53">
        <v>52</v>
      </c>
      <c r="D53" s="55" t="s">
        <v>546</v>
      </c>
      <c r="E53">
        <v>52</v>
      </c>
      <c r="F53" s="55" t="s">
        <v>661</v>
      </c>
      <c r="G53">
        <v>52</v>
      </c>
      <c r="H53" s="55" t="s">
        <v>1356</v>
      </c>
      <c r="I53">
        <v>52</v>
      </c>
      <c r="J53" s="55" t="s">
        <v>776</v>
      </c>
    </row>
    <row r="54" spans="1:10" x14ac:dyDescent="0.3">
      <c r="A54">
        <v>53</v>
      </c>
      <c r="B54" s="55" t="s">
        <v>432</v>
      </c>
      <c r="C54">
        <v>53</v>
      </c>
      <c r="D54" s="55" t="s">
        <v>547</v>
      </c>
      <c r="E54">
        <v>53</v>
      </c>
      <c r="F54" s="55" t="s">
        <v>662</v>
      </c>
      <c r="G54">
        <v>53</v>
      </c>
      <c r="H54" s="55" t="s">
        <v>1357</v>
      </c>
      <c r="I54">
        <v>53</v>
      </c>
      <c r="J54" s="55" t="s">
        <v>777</v>
      </c>
    </row>
    <row r="55" spans="1:10" x14ac:dyDescent="0.3">
      <c r="A55">
        <v>54</v>
      </c>
      <c r="B55" s="55" t="s">
        <v>433</v>
      </c>
      <c r="C55">
        <v>54</v>
      </c>
      <c r="D55" s="55" t="s">
        <v>548</v>
      </c>
      <c r="E55">
        <v>54</v>
      </c>
      <c r="F55" s="55" t="s">
        <v>663</v>
      </c>
      <c r="G55">
        <v>54</v>
      </c>
      <c r="H55" s="55" t="s">
        <v>1358</v>
      </c>
      <c r="I55">
        <v>54</v>
      </c>
      <c r="J55" s="55" t="s">
        <v>778</v>
      </c>
    </row>
    <row r="56" spans="1:10" x14ac:dyDescent="0.3">
      <c r="A56">
        <v>55</v>
      </c>
      <c r="B56" s="55" t="s">
        <v>434</v>
      </c>
      <c r="C56">
        <v>55</v>
      </c>
      <c r="D56" s="55" t="s">
        <v>549</v>
      </c>
      <c r="E56">
        <v>55</v>
      </c>
      <c r="F56" s="55" t="s">
        <v>664</v>
      </c>
      <c r="G56">
        <v>55</v>
      </c>
      <c r="H56" s="55" t="s">
        <v>1359</v>
      </c>
      <c r="I56">
        <v>55</v>
      </c>
      <c r="J56" s="55" t="s">
        <v>779</v>
      </c>
    </row>
    <row r="57" spans="1:10" x14ac:dyDescent="0.3">
      <c r="A57">
        <v>56</v>
      </c>
      <c r="B57" s="55" t="s">
        <v>435</v>
      </c>
      <c r="C57">
        <v>56</v>
      </c>
      <c r="D57" s="55" t="s">
        <v>550</v>
      </c>
      <c r="E57">
        <v>56</v>
      </c>
      <c r="F57" s="55" t="s">
        <v>665</v>
      </c>
      <c r="G57">
        <v>56</v>
      </c>
      <c r="H57" s="55" t="s">
        <v>1360</v>
      </c>
      <c r="I57">
        <v>56</v>
      </c>
      <c r="J57" s="55" t="s">
        <v>780</v>
      </c>
    </row>
    <row r="58" spans="1:10" x14ac:dyDescent="0.3">
      <c r="A58">
        <v>57</v>
      </c>
      <c r="B58" s="55" t="s">
        <v>436</v>
      </c>
      <c r="C58">
        <v>57</v>
      </c>
      <c r="D58" s="55" t="s">
        <v>551</v>
      </c>
      <c r="E58">
        <v>57</v>
      </c>
      <c r="F58" s="55" t="s">
        <v>666</v>
      </c>
      <c r="G58">
        <v>57</v>
      </c>
      <c r="H58" s="55" t="s">
        <v>1361</v>
      </c>
      <c r="I58">
        <v>57</v>
      </c>
      <c r="J58" s="55" t="s">
        <v>781</v>
      </c>
    </row>
    <row r="59" spans="1:10" x14ac:dyDescent="0.3">
      <c r="A59">
        <v>58</v>
      </c>
      <c r="B59" s="55" t="s">
        <v>437</v>
      </c>
      <c r="C59">
        <v>58</v>
      </c>
      <c r="D59" s="55" t="s">
        <v>552</v>
      </c>
      <c r="E59">
        <v>58</v>
      </c>
      <c r="F59" s="55" t="s">
        <v>667</v>
      </c>
      <c r="G59">
        <v>58</v>
      </c>
      <c r="H59" s="55" t="s">
        <v>1362</v>
      </c>
      <c r="I59">
        <v>58</v>
      </c>
      <c r="J59" s="55" t="s">
        <v>782</v>
      </c>
    </row>
    <row r="60" spans="1:10" x14ac:dyDescent="0.3">
      <c r="A60">
        <v>59</v>
      </c>
      <c r="B60" s="55" t="s">
        <v>438</v>
      </c>
      <c r="C60">
        <v>59</v>
      </c>
      <c r="D60" s="55" t="s">
        <v>553</v>
      </c>
      <c r="E60">
        <v>59</v>
      </c>
      <c r="F60" s="55" t="s">
        <v>668</v>
      </c>
      <c r="G60">
        <v>59</v>
      </c>
      <c r="H60" s="55" t="s">
        <v>1363</v>
      </c>
      <c r="I60">
        <v>59</v>
      </c>
      <c r="J60" s="55" t="s">
        <v>783</v>
      </c>
    </row>
    <row r="61" spans="1:10" x14ac:dyDescent="0.3">
      <c r="A61">
        <v>60</v>
      </c>
      <c r="B61" s="55" t="s">
        <v>439</v>
      </c>
      <c r="C61">
        <v>60</v>
      </c>
      <c r="D61" s="55" t="s">
        <v>554</v>
      </c>
      <c r="E61">
        <v>60</v>
      </c>
      <c r="F61" s="55" t="s">
        <v>669</v>
      </c>
      <c r="G61">
        <v>60</v>
      </c>
      <c r="H61" s="55" t="s">
        <v>1364</v>
      </c>
      <c r="I61">
        <v>60</v>
      </c>
      <c r="J61" s="55" t="s">
        <v>784</v>
      </c>
    </row>
    <row r="62" spans="1:10" x14ac:dyDescent="0.3">
      <c r="A62">
        <v>61</v>
      </c>
      <c r="B62" s="55" t="s">
        <v>440</v>
      </c>
      <c r="C62">
        <v>61</v>
      </c>
      <c r="D62" s="55" t="s">
        <v>555</v>
      </c>
      <c r="E62">
        <v>61</v>
      </c>
      <c r="F62" s="55" t="s">
        <v>670</v>
      </c>
      <c r="G62">
        <v>61</v>
      </c>
      <c r="H62" s="55" t="s">
        <v>1365</v>
      </c>
      <c r="I62">
        <v>61</v>
      </c>
      <c r="J62" s="55" t="s">
        <v>785</v>
      </c>
    </row>
    <row r="63" spans="1:10" x14ac:dyDescent="0.3">
      <c r="A63">
        <v>62</v>
      </c>
      <c r="B63" s="55" t="s">
        <v>441</v>
      </c>
      <c r="C63">
        <v>62</v>
      </c>
      <c r="D63" s="55" t="s">
        <v>556</v>
      </c>
      <c r="E63">
        <v>62</v>
      </c>
      <c r="F63" s="55" t="s">
        <v>671</v>
      </c>
      <c r="G63">
        <v>62</v>
      </c>
      <c r="H63" s="55" t="s">
        <v>1366</v>
      </c>
      <c r="I63">
        <v>62</v>
      </c>
      <c r="J63" s="55" t="s">
        <v>786</v>
      </c>
    </row>
    <row r="64" spans="1:10" x14ac:dyDescent="0.3">
      <c r="A64">
        <v>63</v>
      </c>
      <c r="B64" s="55" t="s">
        <v>442</v>
      </c>
      <c r="C64">
        <v>63</v>
      </c>
      <c r="D64" s="55" t="s">
        <v>557</v>
      </c>
      <c r="E64">
        <v>63</v>
      </c>
      <c r="F64" s="55" t="s">
        <v>672</v>
      </c>
      <c r="G64">
        <v>63</v>
      </c>
      <c r="H64" s="55" t="s">
        <v>1367</v>
      </c>
      <c r="I64">
        <v>63</v>
      </c>
      <c r="J64" s="55" t="s">
        <v>787</v>
      </c>
    </row>
    <row r="65" spans="1:10" x14ac:dyDescent="0.3">
      <c r="A65">
        <v>64</v>
      </c>
      <c r="B65" s="55" t="s">
        <v>443</v>
      </c>
      <c r="C65">
        <v>64</v>
      </c>
      <c r="D65" s="55" t="s">
        <v>558</v>
      </c>
      <c r="E65">
        <v>64</v>
      </c>
      <c r="F65" s="55" t="s">
        <v>673</v>
      </c>
      <c r="G65">
        <v>64</v>
      </c>
      <c r="H65" s="55" t="s">
        <v>1368</v>
      </c>
      <c r="I65">
        <v>64</v>
      </c>
      <c r="J65" s="55" t="s">
        <v>788</v>
      </c>
    </row>
    <row r="66" spans="1:10" x14ac:dyDescent="0.3">
      <c r="A66">
        <v>65</v>
      </c>
      <c r="B66" s="55" t="s">
        <v>444</v>
      </c>
      <c r="C66">
        <v>65</v>
      </c>
      <c r="D66" s="55" t="s">
        <v>559</v>
      </c>
      <c r="E66">
        <v>65</v>
      </c>
      <c r="F66" s="55" t="s">
        <v>674</v>
      </c>
      <c r="G66">
        <v>65</v>
      </c>
      <c r="H66" s="55" t="s">
        <v>1369</v>
      </c>
      <c r="I66">
        <v>65</v>
      </c>
      <c r="J66" s="55" t="s">
        <v>789</v>
      </c>
    </row>
    <row r="67" spans="1:10" x14ac:dyDescent="0.3">
      <c r="A67">
        <v>66</v>
      </c>
      <c r="B67" s="55" t="s">
        <v>445</v>
      </c>
      <c r="C67">
        <v>66</v>
      </c>
      <c r="D67" s="55" t="s">
        <v>560</v>
      </c>
      <c r="E67">
        <v>66</v>
      </c>
      <c r="F67" s="55" t="s">
        <v>675</v>
      </c>
      <c r="G67">
        <v>66</v>
      </c>
      <c r="H67" s="55" t="s">
        <v>1370</v>
      </c>
      <c r="I67">
        <v>66</v>
      </c>
      <c r="J67" s="55" t="s">
        <v>790</v>
      </c>
    </row>
    <row r="68" spans="1:10" x14ac:dyDescent="0.3">
      <c r="A68">
        <v>67</v>
      </c>
      <c r="B68" s="55" t="s">
        <v>446</v>
      </c>
      <c r="C68">
        <v>67</v>
      </c>
      <c r="D68" s="55" t="s">
        <v>561</v>
      </c>
      <c r="E68">
        <v>67</v>
      </c>
      <c r="F68" s="55" t="s">
        <v>676</v>
      </c>
      <c r="G68">
        <v>67</v>
      </c>
      <c r="H68" s="55" t="s">
        <v>1371</v>
      </c>
      <c r="I68">
        <v>67</v>
      </c>
      <c r="J68" s="55" t="s">
        <v>791</v>
      </c>
    </row>
    <row r="69" spans="1:10" x14ac:dyDescent="0.3">
      <c r="A69">
        <v>68</v>
      </c>
      <c r="B69" s="55" t="s">
        <v>447</v>
      </c>
      <c r="C69">
        <v>68</v>
      </c>
      <c r="D69" s="55" t="s">
        <v>562</v>
      </c>
      <c r="E69">
        <v>68</v>
      </c>
      <c r="F69" s="55" t="s">
        <v>677</v>
      </c>
      <c r="G69">
        <v>68</v>
      </c>
      <c r="H69" s="55" t="s">
        <v>1372</v>
      </c>
      <c r="I69">
        <v>68</v>
      </c>
      <c r="J69" s="55" t="s">
        <v>792</v>
      </c>
    </row>
    <row r="70" spans="1:10" x14ac:dyDescent="0.3">
      <c r="A70">
        <v>69</v>
      </c>
      <c r="B70" s="55" t="s">
        <v>448</v>
      </c>
      <c r="C70">
        <v>69</v>
      </c>
      <c r="D70" s="55" t="s">
        <v>563</v>
      </c>
      <c r="E70">
        <v>69</v>
      </c>
      <c r="F70" s="55" t="s">
        <v>678</v>
      </c>
      <c r="G70">
        <v>69</v>
      </c>
      <c r="H70" s="55" t="s">
        <v>1373</v>
      </c>
      <c r="I70">
        <v>69</v>
      </c>
      <c r="J70" s="55" t="s">
        <v>793</v>
      </c>
    </row>
    <row r="71" spans="1:10" x14ac:dyDescent="0.3">
      <c r="A71">
        <v>70</v>
      </c>
      <c r="B71" s="55" t="s">
        <v>449</v>
      </c>
      <c r="C71">
        <v>70</v>
      </c>
      <c r="D71" s="55" t="s">
        <v>564</v>
      </c>
      <c r="E71">
        <v>70</v>
      </c>
      <c r="F71" s="55" t="s">
        <v>679</v>
      </c>
      <c r="G71">
        <v>70</v>
      </c>
      <c r="H71" s="55" t="s">
        <v>1374</v>
      </c>
      <c r="I71">
        <v>70</v>
      </c>
      <c r="J71" s="55" t="s">
        <v>794</v>
      </c>
    </row>
    <row r="72" spans="1:10" x14ac:dyDescent="0.3">
      <c r="A72">
        <v>71</v>
      </c>
      <c r="B72" s="55" t="s">
        <v>450</v>
      </c>
      <c r="C72">
        <v>71</v>
      </c>
      <c r="D72" s="55" t="s">
        <v>565</v>
      </c>
      <c r="E72">
        <v>71</v>
      </c>
      <c r="F72" s="55" t="s">
        <v>680</v>
      </c>
      <c r="G72">
        <v>71</v>
      </c>
      <c r="H72" s="55" t="s">
        <v>1375</v>
      </c>
      <c r="I72">
        <v>71</v>
      </c>
      <c r="J72" s="55" t="s">
        <v>795</v>
      </c>
    </row>
    <row r="73" spans="1:10" x14ac:dyDescent="0.3">
      <c r="A73">
        <v>72</v>
      </c>
      <c r="B73" s="55" t="s">
        <v>451</v>
      </c>
      <c r="C73">
        <v>72</v>
      </c>
      <c r="D73" s="55" t="s">
        <v>566</v>
      </c>
      <c r="E73">
        <v>72</v>
      </c>
      <c r="F73" s="55" t="s">
        <v>681</v>
      </c>
      <c r="G73">
        <v>72</v>
      </c>
      <c r="H73" s="55" t="s">
        <v>1376</v>
      </c>
      <c r="I73">
        <v>72</v>
      </c>
      <c r="J73" s="55" t="s">
        <v>796</v>
      </c>
    </row>
    <row r="74" spans="1:10" x14ac:dyDescent="0.3">
      <c r="A74">
        <v>73</v>
      </c>
      <c r="B74" s="55" t="s">
        <v>452</v>
      </c>
      <c r="C74">
        <v>73</v>
      </c>
      <c r="D74" s="55" t="s">
        <v>567</v>
      </c>
      <c r="E74">
        <v>73</v>
      </c>
      <c r="F74" s="55" t="s">
        <v>682</v>
      </c>
      <c r="G74">
        <v>73</v>
      </c>
      <c r="H74" s="55" t="s">
        <v>1377</v>
      </c>
      <c r="I74">
        <v>73</v>
      </c>
      <c r="J74" s="55" t="s">
        <v>797</v>
      </c>
    </row>
    <row r="75" spans="1:10" x14ac:dyDescent="0.3">
      <c r="A75">
        <v>74</v>
      </c>
      <c r="B75" s="55" t="s">
        <v>453</v>
      </c>
      <c r="C75">
        <v>74</v>
      </c>
      <c r="D75" s="55" t="s">
        <v>568</v>
      </c>
      <c r="E75">
        <v>74</v>
      </c>
      <c r="F75" s="55" t="s">
        <v>683</v>
      </c>
      <c r="G75">
        <v>74</v>
      </c>
      <c r="H75" s="55" t="s">
        <v>1378</v>
      </c>
      <c r="I75">
        <v>74</v>
      </c>
      <c r="J75" s="55" t="s">
        <v>798</v>
      </c>
    </row>
    <row r="76" spans="1:10" x14ac:dyDescent="0.3">
      <c r="A76">
        <v>75</v>
      </c>
      <c r="B76" s="55" t="s">
        <v>454</v>
      </c>
      <c r="C76">
        <v>75</v>
      </c>
      <c r="D76" s="55" t="s">
        <v>569</v>
      </c>
      <c r="E76">
        <v>75</v>
      </c>
      <c r="F76" s="55" t="s">
        <v>684</v>
      </c>
      <c r="G76">
        <v>75</v>
      </c>
      <c r="H76" s="55" t="s">
        <v>1379</v>
      </c>
      <c r="I76">
        <v>75</v>
      </c>
      <c r="J76" s="55" t="s">
        <v>799</v>
      </c>
    </row>
    <row r="77" spans="1:10" x14ac:dyDescent="0.3">
      <c r="A77">
        <v>76</v>
      </c>
      <c r="B77" s="55" t="s">
        <v>455</v>
      </c>
      <c r="C77">
        <v>76</v>
      </c>
      <c r="D77" s="55" t="s">
        <v>570</v>
      </c>
      <c r="E77">
        <v>76</v>
      </c>
      <c r="F77" s="55" t="s">
        <v>685</v>
      </c>
      <c r="G77">
        <v>76</v>
      </c>
      <c r="H77" s="55" t="s">
        <v>1380</v>
      </c>
      <c r="I77">
        <v>76</v>
      </c>
      <c r="J77" s="55" t="s">
        <v>800</v>
      </c>
    </row>
    <row r="78" spans="1:10" x14ac:dyDescent="0.3">
      <c r="A78">
        <v>77</v>
      </c>
      <c r="B78" s="55" t="s">
        <v>456</v>
      </c>
      <c r="C78">
        <v>77</v>
      </c>
      <c r="D78" s="55" t="s">
        <v>571</v>
      </c>
      <c r="E78">
        <v>77</v>
      </c>
      <c r="F78" s="55" t="s">
        <v>686</v>
      </c>
      <c r="G78">
        <v>77</v>
      </c>
      <c r="H78" s="55" t="s">
        <v>1381</v>
      </c>
      <c r="I78">
        <v>77</v>
      </c>
      <c r="J78" s="55" t="s">
        <v>801</v>
      </c>
    </row>
    <row r="79" spans="1:10" x14ac:dyDescent="0.3">
      <c r="A79">
        <v>78</v>
      </c>
      <c r="B79" s="55" t="s">
        <v>457</v>
      </c>
      <c r="C79">
        <v>78</v>
      </c>
      <c r="D79" s="55" t="s">
        <v>572</v>
      </c>
      <c r="E79">
        <v>78</v>
      </c>
      <c r="F79" s="55" t="s">
        <v>687</v>
      </c>
      <c r="G79">
        <v>78</v>
      </c>
      <c r="H79" s="55" t="s">
        <v>1382</v>
      </c>
      <c r="I79">
        <v>78</v>
      </c>
      <c r="J79" s="55" t="s">
        <v>802</v>
      </c>
    </row>
    <row r="80" spans="1:10" x14ac:dyDescent="0.3">
      <c r="A80">
        <v>79</v>
      </c>
      <c r="B80" s="55" t="s">
        <v>458</v>
      </c>
      <c r="C80">
        <v>79</v>
      </c>
      <c r="D80" s="55" t="s">
        <v>573</v>
      </c>
      <c r="E80">
        <v>79</v>
      </c>
      <c r="F80" s="55" t="s">
        <v>688</v>
      </c>
      <c r="G80">
        <v>79</v>
      </c>
      <c r="H80" s="55" t="s">
        <v>1383</v>
      </c>
      <c r="I80">
        <v>79</v>
      </c>
      <c r="J80" s="55" t="s">
        <v>803</v>
      </c>
    </row>
    <row r="81" spans="1:10" x14ac:dyDescent="0.3">
      <c r="A81">
        <v>80</v>
      </c>
      <c r="B81" s="55" t="s">
        <v>459</v>
      </c>
      <c r="C81">
        <v>80</v>
      </c>
      <c r="D81" s="55" t="s">
        <v>574</v>
      </c>
      <c r="E81">
        <v>80</v>
      </c>
      <c r="F81" s="55" t="s">
        <v>689</v>
      </c>
      <c r="G81">
        <v>80</v>
      </c>
      <c r="H81" s="55" t="s">
        <v>1384</v>
      </c>
      <c r="I81">
        <v>80</v>
      </c>
      <c r="J81" s="55" t="s">
        <v>804</v>
      </c>
    </row>
    <row r="82" spans="1:10" x14ac:dyDescent="0.3">
      <c r="A82">
        <v>81</v>
      </c>
      <c r="B82" s="55" t="s">
        <v>460</v>
      </c>
      <c r="C82">
        <v>81</v>
      </c>
      <c r="D82" s="55" t="s">
        <v>575</v>
      </c>
      <c r="E82">
        <v>81</v>
      </c>
      <c r="F82" s="55" t="s">
        <v>690</v>
      </c>
      <c r="G82">
        <v>81</v>
      </c>
      <c r="H82" s="55" t="s">
        <v>1385</v>
      </c>
      <c r="I82">
        <v>81</v>
      </c>
      <c r="J82" s="55" t="s">
        <v>805</v>
      </c>
    </row>
    <row r="83" spans="1:10" x14ac:dyDescent="0.3">
      <c r="A83">
        <v>82</v>
      </c>
      <c r="B83" s="55" t="s">
        <v>461</v>
      </c>
      <c r="C83">
        <v>82</v>
      </c>
      <c r="D83" s="55" t="s">
        <v>576</v>
      </c>
      <c r="E83">
        <v>82</v>
      </c>
      <c r="F83" s="55" t="s">
        <v>691</v>
      </c>
      <c r="G83">
        <v>82</v>
      </c>
      <c r="H83" s="55" t="s">
        <v>1386</v>
      </c>
      <c r="I83">
        <v>82</v>
      </c>
      <c r="J83" s="55" t="s">
        <v>806</v>
      </c>
    </row>
    <row r="84" spans="1:10" x14ac:dyDescent="0.3">
      <c r="A84">
        <v>83</v>
      </c>
      <c r="B84" s="55" t="s">
        <v>462</v>
      </c>
      <c r="C84">
        <v>83</v>
      </c>
      <c r="D84" s="55" t="s">
        <v>577</v>
      </c>
      <c r="E84">
        <v>83</v>
      </c>
      <c r="F84" s="55" t="s">
        <v>692</v>
      </c>
      <c r="G84">
        <v>83</v>
      </c>
      <c r="H84" s="55" t="s">
        <v>1387</v>
      </c>
      <c r="I84">
        <v>83</v>
      </c>
      <c r="J84" s="55" t="s">
        <v>807</v>
      </c>
    </row>
    <row r="85" spans="1:10" x14ac:dyDescent="0.3">
      <c r="A85">
        <v>84</v>
      </c>
      <c r="B85" s="55" t="s">
        <v>463</v>
      </c>
      <c r="C85">
        <v>84</v>
      </c>
      <c r="D85" s="55" t="s">
        <v>578</v>
      </c>
      <c r="E85">
        <v>84</v>
      </c>
      <c r="F85" s="55" t="s">
        <v>693</v>
      </c>
      <c r="G85">
        <v>84</v>
      </c>
      <c r="H85" s="55" t="s">
        <v>1388</v>
      </c>
      <c r="I85">
        <v>84</v>
      </c>
      <c r="J85" s="55" t="s">
        <v>808</v>
      </c>
    </row>
    <row r="86" spans="1:10" x14ac:dyDescent="0.3">
      <c r="A86">
        <v>85</v>
      </c>
      <c r="B86" s="55" t="s">
        <v>464</v>
      </c>
      <c r="C86">
        <v>85</v>
      </c>
      <c r="D86" s="55" t="s">
        <v>579</v>
      </c>
      <c r="E86">
        <v>85</v>
      </c>
      <c r="F86" s="55" t="s">
        <v>694</v>
      </c>
      <c r="G86">
        <v>85</v>
      </c>
      <c r="H86" s="55" t="s">
        <v>1389</v>
      </c>
      <c r="I86">
        <v>85</v>
      </c>
      <c r="J86" s="55" t="s">
        <v>809</v>
      </c>
    </row>
    <row r="87" spans="1:10" x14ac:dyDescent="0.3">
      <c r="A87">
        <v>86</v>
      </c>
      <c r="B87" s="55" t="s">
        <v>465</v>
      </c>
      <c r="C87">
        <v>86</v>
      </c>
      <c r="D87" s="55" t="s">
        <v>580</v>
      </c>
      <c r="E87">
        <v>86</v>
      </c>
      <c r="F87" s="55" t="s">
        <v>695</v>
      </c>
      <c r="G87">
        <v>86</v>
      </c>
      <c r="H87" s="55" t="s">
        <v>1390</v>
      </c>
      <c r="I87">
        <v>86</v>
      </c>
      <c r="J87" s="55" t="s">
        <v>810</v>
      </c>
    </row>
    <row r="88" spans="1:10" x14ac:dyDescent="0.3">
      <c r="A88">
        <v>87</v>
      </c>
      <c r="B88" s="55" t="s">
        <v>466</v>
      </c>
      <c r="C88">
        <v>87</v>
      </c>
      <c r="D88" s="55" t="s">
        <v>581</v>
      </c>
      <c r="E88">
        <v>87</v>
      </c>
      <c r="F88" s="55" t="s">
        <v>696</v>
      </c>
      <c r="G88">
        <v>87</v>
      </c>
      <c r="H88" s="55" t="s">
        <v>1391</v>
      </c>
      <c r="I88">
        <v>87</v>
      </c>
      <c r="J88" s="55" t="s">
        <v>811</v>
      </c>
    </row>
    <row r="89" spans="1:10" x14ac:dyDescent="0.3">
      <c r="A89">
        <v>88</v>
      </c>
      <c r="B89" s="55" t="s">
        <v>467</v>
      </c>
      <c r="C89">
        <v>88</v>
      </c>
      <c r="D89" s="55" t="s">
        <v>582</v>
      </c>
      <c r="E89">
        <v>88</v>
      </c>
      <c r="F89" s="55" t="s">
        <v>697</v>
      </c>
      <c r="G89">
        <v>88</v>
      </c>
      <c r="H89" s="55" t="s">
        <v>1392</v>
      </c>
      <c r="I89">
        <v>88</v>
      </c>
      <c r="J89" s="55" t="s">
        <v>812</v>
      </c>
    </row>
    <row r="90" spans="1:10" x14ac:dyDescent="0.3">
      <c r="A90">
        <v>89</v>
      </c>
      <c r="B90" s="55" t="s">
        <v>468</v>
      </c>
      <c r="C90">
        <v>89</v>
      </c>
      <c r="D90" s="55" t="s">
        <v>583</v>
      </c>
      <c r="E90">
        <v>89</v>
      </c>
      <c r="F90" s="55" t="s">
        <v>698</v>
      </c>
      <c r="G90">
        <v>89</v>
      </c>
      <c r="H90" s="55" t="s">
        <v>1393</v>
      </c>
      <c r="I90">
        <v>89</v>
      </c>
      <c r="J90" s="55" t="s">
        <v>813</v>
      </c>
    </row>
    <row r="91" spans="1:10" x14ac:dyDescent="0.3">
      <c r="A91">
        <v>90</v>
      </c>
      <c r="B91" s="55" t="s">
        <v>469</v>
      </c>
      <c r="C91">
        <v>90</v>
      </c>
      <c r="D91" s="55" t="s">
        <v>584</v>
      </c>
      <c r="E91">
        <v>90</v>
      </c>
      <c r="F91" s="55" t="s">
        <v>699</v>
      </c>
      <c r="G91">
        <v>90</v>
      </c>
      <c r="H91" s="55" t="s">
        <v>1394</v>
      </c>
      <c r="I91">
        <v>90</v>
      </c>
      <c r="J91" s="55" t="s">
        <v>814</v>
      </c>
    </row>
    <row r="92" spans="1:10" x14ac:dyDescent="0.3">
      <c r="A92">
        <v>91</v>
      </c>
      <c r="B92" s="55" t="s">
        <v>470</v>
      </c>
      <c r="C92">
        <v>91</v>
      </c>
      <c r="D92" s="55" t="s">
        <v>585</v>
      </c>
      <c r="E92">
        <v>91</v>
      </c>
      <c r="F92" s="55" t="s">
        <v>700</v>
      </c>
      <c r="G92">
        <v>91</v>
      </c>
      <c r="H92" s="55" t="s">
        <v>1395</v>
      </c>
      <c r="I92">
        <v>91</v>
      </c>
      <c r="J92" s="55" t="s">
        <v>815</v>
      </c>
    </row>
    <row r="93" spans="1:10" x14ac:dyDescent="0.3">
      <c r="A93">
        <v>92</v>
      </c>
      <c r="B93" s="55" t="s">
        <v>471</v>
      </c>
      <c r="C93">
        <v>92</v>
      </c>
      <c r="D93" s="55" t="s">
        <v>586</v>
      </c>
      <c r="E93">
        <v>92</v>
      </c>
      <c r="F93" s="55" t="s">
        <v>701</v>
      </c>
      <c r="G93">
        <v>92</v>
      </c>
      <c r="H93" s="55" t="s">
        <v>1396</v>
      </c>
      <c r="I93">
        <v>92</v>
      </c>
      <c r="J93" s="55" t="s">
        <v>816</v>
      </c>
    </row>
    <row r="94" spans="1:10" x14ac:dyDescent="0.3">
      <c r="A94">
        <v>93</v>
      </c>
      <c r="B94" s="55" t="s">
        <v>472</v>
      </c>
      <c r="C94">
        <v>93</v>
      </c>
      <c r="D94" s="55" t="s">
        <v>587</v>
      </c>
      <c r="E94">
        <v>93</v>
      </c>
      <c r="F94" s="55" t="s">
        <v>702</v>
      </c>
      <c r="G94">
        <v>93</v>
      </c>
      <c r="H94" s="55" t="s">
        <v>1397</v>
      </c>
      <c r="I94">
        <v>93</v>
      </c>
      <c r="J94" s="55" t="s">
        <v>817</v>
      </c>
    </row>
    <row r="95" spans="1:10" x14ac:dyDescent="0.3">
      <c r="A95">
        <v>94</v>
      </c>
      <c r="B95" s="55" t="s">
        <v>473</v>
      </c>
      <c r="C95">
        <v>94</v>
      </c>
      <c r="D95" s="55" t="s">
        <v>588</v>
      </c>
      <c r="E95">
        <v>94</v>
      </c>
      <c r="F95" s="55" t="s">
        <v>703</v>
      </c>
      <c r="G95">
        <v>94</v>
      </c>
      <c r="H95" s="55" t="s">
        <v>1398</v>
      </c>
      <c r="I95">
        <v>94</v>
      </c>
      <c r="J95" s="55" t="s">
        <v>818</v>
      </c>
    </row>
    <row r="96" spans="1:10" x14ac:dyDescent="0.3">
      <c r="A96">
        <v>95</v>
      </c>
      <c r="B96" s="55" t="s">
        <v>474</v>
      </c>
      <c r="C96">
        <v>95</v>
      </c>
      <c r="D96" s="55" t="s">
        <v>589</v>
      </c>
      <c r="E96">
        <v>95</v>
      </c>
      <c r="F96" s="55" t="s">
        <v>704</v>
      </c>
      <c r="G96">
        <v>95</v>
      </c>
      <c r="H96" s="55" t="s">
        <v>1399</v>
      </c>
      <c r="I96">
        <v>95</v>
      </c>
      <c r="J96" s="55" t="s">
        <v>819</v>
      </c>
    </row>
    <row r="97" spans="1:10" x14ac:dyDescent="0.3">
      <c r="A97">
        <v>96</v>
      </c>
      <c r="B97" s="55" t="s">
        <v>475</v>
      </c>
      <c r="C97">
        <v>96</v>
      </c>
      <c r="D97" s="55" t="s">
        <v>590</v>
      </c>
      <c r="E97">
        <v>96</v>
      </c>
      <c r="F97" s="55" t="s">
        <v>705</v>
      </c>
      <c r="G97">
        <v>96</v>
      </c>
      <c r="H97" s="55" t="s">
        <v>1400</v>
      </c>
      <c r="I97">
        <v>96</v>
      </c>
      <c r="J97" s="55" t="s">
        <v>820</v>
      </c>
    </row>
    <row r="98" spans="1:10" x14ac:dyDescent="0.3">
      <c r="A98">
        <v>97</v>
      </c>
      <c r="B98" s="55" t="s">
        <v>476</v>
      </c>
      <c r="C98">
        <v>97</v>
      </c>
      <c r="D98" s="55" t="s">
        <v>591</v>
      </c>
      <c r="E98">
        <v>97</v>
      </c>
      <c r="F98" s="55" t="s">
        <v>706</v>
      </c>
      <c r="G98">
        <v>97</v>
      </c>
      <c r="H98" s="55" t="s">
        <v>1401</v>
      </c>
      <c r="I98">
        <v>97</v>
      </c>
      <c r="J98" s="55" t="s">
        <v>821</v>
      </c>
    </row>
    <row r="99" spans="1:10" x14ac:dyDescent="0.3">
      <c r="A99">
        <v>98</v>
      </c>
      <c r="B99" s="55" t="s">
        <v>477</v>
      </c>
      <c r="C99">
        <v>98</v>
      </c>
      <c r="D99" s="55" t="s">
        <v>592</v>
      </c>
      <c r="E99">
        <v>98</v>
      </c>
      <c r="F99" s="55" t="s">
        <v>707</v>
      </c>
      <c r="G99">
        <v>98</v>
      </c>
      <c r="H99" s="55" t="s">
        <v>1402</v>
      </c>
      <c r="I99">
        <v>98</v>
      </c>
      <c r="J99" s="55" t="s">
        <v>822</v>
      </c>
    </row>
    <row r="100" spans="1:10" x14ac:dyDescent="0.3">
      <c r="A100">
        <v>99</v>
      </c>
      <c r="B100" s="55" t="s">
        <v>478</v>
      </c>
      <c r="C100">
        <v>99</v>
      </c>
      <c r="D100" s="55" t="s">
        <v>593</v>
      </c>
      <c r="E100">
        <v>99</v>
      </c>
      <c r="F100" s="55" t="s">
        <v>708</v>
      </c>
      <c r="G100">
        <v>99</v>
      </c>
      <c r="H100" s="55" t="s">
        <v>1403</v>
      </c>
      <c r="I100">
        <v>99</v>
      </c>
      <c r="J100" s="55" t="s">
        <v>823</v>
      </c>
    </row>
    <row r="101" spans="1:10" x14ac:dyDescent="0.3">
      <c r="A101">
        <v>100</v>
      </c>
      <c r="B101" s="55" t="s">
        <v>479</v>
      </c>
      <c r="C101">
        <v>100</v>
      </c>
      <c r="D101" s="55" t="s">
        <v>594</v>
      </c>
      <c r="E101">
        <v>100</v>
      </c>
      <c r="F101" s="55" t="s">
        <v>709</v>
      </c>
      <c r="G101">
        <v>100</v>
      </c>
      <c r="H101" s="55" t="s">
        <v>1404</v>
      </c>
      <c r="I101">
        <v>100</v>
      </c>
      <c r="J101" s="55" t="s">
        <v>824</v>
      </c>
    </row>
    <row r="102" spans="1:10" x14ac:dyDescent="0.3">
      <c r="A102">
        <v>101</v>
      </c>
      <c r="B102" s="55" t="s">
        <v>480</v>
      </c>
      <c r="C102">
        <v>101</v>
      </c>
      <c r="D102" s="55" t="s">
        <v>595</v>
      </c>
      <c r="E102">
        <v>101</v>
      </c>
      <c r="F102" s="55" t="s">
        <v>710</v>
      </c>
      <c r="G102">
        <v>101</v>
      </c>
      <c r="H102" s="55" t="s">
        <v>1405</v>
      </c>
      <c r="I102">
        <v>101</v>
      </c>
      <c r="J102" s="55" t="s">
        <v>825</v>
      </c>
    </row>
    <row r="103" spans="1:10" x14ac:dyDescent="0.3">
      <c r="A103">
        <v>102</v>
      </c>
      <c r="B103" s="55" t="s">
        <v>481</v>
      </c>
      <c r="C103">
        <v>102</v>
      </c>
      <c r="D103" s="55" t="s">
        <v>596</v>
      </c>
      <c r="E103">
        <v>102</v>
      </c>
      <c r="F103" s="55" t="s">
        <v>711</v>
      </c>
      <c r="G103">
        <v>102</v>
      </c>
      <c r="H103" s="55" t="s">
        <v>1406</v>
      </c>
      <c r="I103">
        <v>102</v>
      </c>
      <c r="J103" s="55" t="s">
        <v>826</v>
      </c>
    </row>
    <row r="104" spans="1:10" x14ac:dyDescent="0.3">
      <c r="A104">
        <v>103</v>
      </c>
      <c r="B104" s="55" t="s">
        <v>482</v>
      </c>
      <c r="C104">
        <v>103</v>
      </c>
      <c r="D104" s="55" t="s">
        <v>597</v>
      </c>
      <c r="E104">
        <v>103</v>
      </c>
      <c r="F104" s="55" t="s">
        <v>712</v>
      </c>
      <c r="G104">
        <v>103</v>
      </c>
      <c r="H104" s="55" t="s">
        <v>1407</v>
      </c>
      <c r="I104">
        <v>103</v>
      </c>
      <c r="J104" s="55" t="s">
        <v>827</v>
      </c>
    </row>
    <row r="105" spans="1:10" x14ac:dyDescent="0.3">
      <c r="A105">
        <v>104</v>
      </c>
      <c r="B105" s="55" t="s">
        <v>483</v>
      </c>
      <c r="C105">
        <v>104</v>
      </c>
      <c r="D105" s="55" t="s">
        <v>598</v>
      </c>
      <c r="E105">
        <v>104</v>
      </c>
      <c r="F105" s="55" t="s">
        <v>713</v>
      </c>
      <c r="G105">
        <v>104</v>
      </c>
      <c r="H105" s="55" t="s">
        <v>1408</v>
      </c>
      <c r="I105">
        <v>104</v>
      </c>
      <c r="J105" s="55" t="s">
        <v>828</v>
      </c>
    </row>
    <row r="106" spans="1:10" x14ac:dyDescent="0.3">
      <c r="A106">
        <v>105</v>
      </c>
      <c r="B106" s="55" t="s">
        <v>484</v>
      </c>
      <c r="C106">
        <v>105</v>
      </c>
      <c r="D106" s="55" t="s">
        <v>599</v>
      </c>
      <c r="E106">
        <v>105</v>
      </c>
      <c r="F106" s="55" t="s">
        <v>714</v>
      </c>
      <c r="G106">
        <v>105</v>
      </c>
      <c r="H106" s="55" t="s">
        <v>1409</v>
      </c>
      <c r="I106">
        <v>105</v>
      </c>
      <c r="J106" s="55" t="s">
        <v>829</v>
      </c>
    </row>
    <row r="107" spans="1:10" x14ac:dyDescent="0.3">
      <c r="A107">
        <v>106</v>
      </c>
      <c r="B107" s="55" t="s">
        <v>485</v>
      </c>
      <c r="C107">
        <v>106</v>
      </c>
      <c r="D107" s="55" t="s">
        <v>600</v>
      </c>
      <c r="E107">
        <v>106</v>
      </c>
      <c r="F107" s="55" t="s">
        <v>715</v>
      </c>
      <c r="G107">
        <v>106</v>
      </c>
      <c r="H107" s="55" t="s">
        <v>1410</v>
      </c>
      <c r="I107">
        <v>106</v>
      </c>
      <c r="J107" s="55" t="s">
        <v>830</v>
      </c>
    </row>
    <row r="108" spans="1:10" x14ac:dyDescent="0.3">
      <c r="A108">
        <v>107</v>
      </c>
      <c r="B108" s="55" t="s">
        <v>486</v>
      </c>
      <c r="C108">
        <v>107</v>
      </c>
      <c r="D108" s="55" t="s">
        <v>601</v>
      </c>
      <c r="E108">
        <v>107</v>
      </c>
      <c r="F108" s="55" t="s">
        <v>716</v>
      </c>
      <c r="G108">
        <v>107</v>
      </c>
      <c r="H108" s="55" t="s">
        <v>1411</v>
      </c>
      <c r="I108">
        <v>107</v>
      </c>
      <c r="J108" s="55" t="s">
        <v>831</v>
      </c>
    </row>
    <row r="109" spans="1:10" x14ac:dyDescent="0.3">
      <c r="A109">
        <v>108</v>
      </c>
      <c r="B109" s="55" t="s">
        <v>487</v>
      </c>
      <c r="C109">
        <v>108</v>
      </c>
      <c r="D109" s="55" t="s">
        <v>602</v>
      </c>
      <c r="E109">
        <v>108</v>
      </c>
      <c r="F109" s="55" t="s">
        <v>717</v>
      </c>
      <c r="G109">
        <v>108</v>
      </c>
      <c r="H109" s="55" t="s">
        <v>1412</v>
      </c>
      <c r="I109">
        <v>108</v>
      </c>
      <c r="J109" s="55" t="s">
        <v>832</v>
      </c>
    </row>
    <row r="110" spans="1:10" x14ac:dyDescent="0.3">
      <c r="A110">
        <v>109</v>
      </c>
      <c r="B110" s="55" t="s">
        <v>488</v>
      </c>
      <c r="C110">
        <v>109</v>
      </c>
      <c r="D110" s="55" t="s">
        <v>603</v>
      </c>
      <c r="E110">
        <v>109</v>
      </c>
      <c r="F110" s="55" t="s">
        <v>718</v>
      </c>
      <c r="G110">
        <v>109</v>
      </c>
      <c r="H110" s="55" t="s">
        <v>1413</v>
      </c>
      <c r="I110">
        <v>109</v>
      </c>
      <c r="J110" s="55" t="s">
        <v>833</v>
      </c>
    </row>
    <row r="111" spans="1:10" x14ac:dyDescent="0.3">
      <c r="A111">
        <v>110</v>
      </c>
      <c r="B111" s="55" t="s">
        <v>489</v>
      </c>
      <c r="C111">
        <v>110</v>
      </c>
      <c r="D111" s="55" t="s">
        <v>604</v>
      </c>
      <c r="E111">
        <v>110</v>
      </c>
      <c r="F111" s="55" t="s">
        <v>719</v>
      </c>
      <c r="G111">
        <v>110</v>
      </c>
      <c r="H111" s="55" t="s">
        <v>1414</v>
      </c>
      <c r="I111">
        <v>110</v>
      </c>
      <c r="J111" s="55" t="s">
        <v>834</v>
      </c>
    </row>
    <row r="112" spans="1:10" x14ac:dyDescent="0.3">
      <c r="A112">
        <v>111</v>
      </c>
      <c r="B112" s="55" t="s">
        <v>490</v>
      </c>
      <c r="C112">
        <v>111</v>
      </c>
      <c r="D112" s="55" t="s">
        <v>605</v>
      </c>
      <c r="E112">
        <v>111</v>
      </c>
      <c r="F112" s="55" t="s">
        <v>720</v>
      </c>
      <c r="G112">
        <v>111</v>
      </c>
      <c r="H112" s="55" t="s">
        <v>1415</v>
      </c>
      <c r="I112">
        <v>111</v>
      </c>
      <c r="J112" s="55" t="s">
        <v>835</v>
      </c>
    </row>
    <row r="113" spans="1:10" x14ac:dyDescent="0.3">
      <c r="A113">
        <v>112</v>
      </c>
      <c r="B113" s="55" t="s">
        <v>491</v>
      </c>
      <c r="C113">
        <v>112</v>
      </c>
      <c r="D113" s="55" t="s">
        <v>606</v>
      </c>
      <c r="E113">
        <v>112</v>
      </c>
      <c r="F113" s="55" t="s">
        <v>721</v>
      </c>
      <c r="G113">
        <v>112</v>
      </c>
      <c r="H113" s="55" t="s">
        <v>1416</v>
      </c>
      <c r="I113">
        <v>112</v>
      </c>
      <c r="J113" s="55" t="s">
        <v>836</v>
      </c>
    </row>
    <row r="114" spans="1:10" x14ac:dyDescent="0.3">
      <c r="A114">
        <v>113</v>
      </c>
      <c r="B114" s="55" t="s">
        <v>492</v>
      </c>
      <c r="C114">
        <v>113</v>
      </c>
      <c r="D114" s="55" t="s">
        <v>607</v>
      </c>
      <c r="E114">
        <v>113</v>
      </c>
      <c r="F114" s="55" t="s">
        <v>722</v>
      </c>
      <c r="G114">
        <v>113</v>
      </c>
      <c r="H114" s="55" t="s">
        <v>1417</v>
      </c>
      <c r="I114">
        <v>113</v>
      </c>
      <c r="J114" s="55" t="s">
        <v>837</v>
      </c>
    </row>
    <row r="115" spans="1:10" x14ac:dyDescent="0.3">
      <c r="A115">
        <v>114</v>
      </c>
      <c r="B115" s="55" t="s">
        <v>493</v>
      </c>
      <c r="C115">
        <v>114</v>
      </c>
      <c r="D115" s="55" t="s">
        <v>608</v>
      </c>
      <c r="E115">
        <v>114</v>
      </c>
      <c r="F115" s="55" t="s">
        <v>723</v>
      </c>
      <c r="G115">
        <v>114</v>
      </c>
      <c r="H115" s="55" t="s">
        <v>1418</v>
      </c>
      <c r="I115">
        <v>114</v>
      </c>
      <c r="J115" s="55" t="s">
        <v>838</v>
      </c>
    </row>
    <row r="116" spans="1:10" x14ac:dyDescent="0.3">
      <c r="A116">
        <v>115</v>
      </c>
      <c r="B116" s="55" t="s">
        <v>494</v>
      </c>
      <c r="C116">
        <v>115</v>
      </c>
      <c r="D116" s="55" t="s">
        <v>609</v>
      </c>
      <c r="E116">
        <v>115</v>
      </c>
      <c r="F116" s="55" t="s">
        <v>724</v>
      </c>
      <c r="G116">
        <v>115</v>
      </c>
      <c r="H116" s="55" t="s">
        <v>1419</v>
      </c>
      <c r="I116">
        <v>115</v>
      </c>
      <c r="J116" s="55" t="s">
        <v>839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6"/>
  <sheetViews>
    <sheetView workbookViewId="0">
      <selection activeCell="J1" sqref="J1"/>
    </sheetView>
  </sheetViews>
  <sheetFormatPr defaultRowHeight="14.4" x14ac:dyDescent="0.3"/>
  <cols>
    <col min="1" max="1" width="10.77734375" bestFit="1" customWidth="1"/>
    <col min="2" max="2" width="16.6640625" bestFit="1" customWidth="1"/>
    <col min="3" max="3" width="10.77734375" bestFit="1" customWidth="1"/>
    <col min="4" max="4" width="16.77734375" bestFit="1" customWidth="1"/>
    <col min="7" max="7" width="10.77734375" bestFit="1" customWidth="1"/>
    <col min="8" max="8" width="16.77734375" bestFit="1" customWidth="1"/>
    <col min="9" max="9" width="10.77734375" bestFit="1" customWidth="1"/>
    <col min="10" max="10" width="16.77734375" bestFit="1" customWidth="1"/>
  </cols>
  <sheetData>
    <row r="1" spans="1:10" x14ac:dyDescent="0.3">
      <c r="A1" t="s">
        <v>379</v>
      </c>
      <c r="B1" t="s">
        <v>370</v>
      </c>
      <c r="C1" t="s">
        <v>379</v>
      </c>
      <c r="D1" t="s">
        <v>374</v>
      </c>
      <c r="E1" t="s">
        <v>379</v>
      </c>
      <c r="F1" t="s">
        <v>371</v>
      </c>
      <c r="G1" t="s">
        <v>379</v>
      </c>
      <c r="H1" t="s">
        <v>373</v>
      </c>
      <c r="I1" t="s">
        <v>379</v>
      </c>
      <c r="J1" t="s">
        <v>372</v>
      </c>
    </row>
    <row r="2" spans="1:10" x14ac:dyDescent="0.3">
      <c r="A2">
        <v>1</v>
      </c>
      <c r="B2" s="55" t="s">
        <v>840</v>
      </c>
      <c r="C2">
        <v>1</v>
      </c>
      <c r="D2" s="55" t="s">
        <v>1070</v>
      </c>
      <c r="E2">
        <v>1</v>
      </c>
      <c r="F2" s="55" t="s">
        <v>955</v>
      </c>
      <c r="G2">
        <v>1</v>
      </c>
      <c r="H2" s="55" t="s">
        <v>1420</v>
      </c>
      <c r="I2">
        <v>1</v>
      </c>
      <c r="J2" s="55" t="s">
        <v>1185</v>
      </c>
    </row>
    <row r="3" spans="1:10" x14ac:dyDescent="0.3">
      <c r="A3">
        <v>2</v>
      </c>
      <c r="B3" s="55" t="s">
        <v>841</v>
      </c>
      <c r="C3">
        <v>2</v>
      </c>
      <c r="D3" s="55" t="s">
        <v>1071</v>
      </c>
      <c r="E3">
        <v>2</v>
      </c>
      <c r="F3" s="55" t="s">
        <v>956</v>
      </c>
      <c r="G3">
        <v>2</v>
      </c>
      <c r="H3" s="55" t="s">
        <v>1421</v>
      </c>
      <c r="I3">
        <v>2</v>
      </c>
      <c r="J3" s="55" t="s">
        <v>1186</v>
      </c>
    </row>
    <row r="4" spans="1:10" x14ac:dyDescent="0.3">
      <c r="A4">
        <v>3</v>
      </c>
      <c r="B4" s="55" t="s">
        <v>842</v>
      </c>
      <c r="C4">
        <v>3</v>
      </c>
      <c r="D4" s="55" t="s">
        <v>1072</v>
      </c>
      <c r="E4">
        <v>3</v>
      </c>
      <c r="F4" s="55" t="s">
        <v>957</v>
      </c>
      <c r="G4">
        <v>3</v>
      </c>
      <c r="H4" s="55" t="s">
        <v>1422</v>
      </c>
      <c r="I4">
        <v>3</v>
      </c>
      <c r="J4" s="55" t="s">
        <v>1187</v>
      </c>
    </row>
    <row r="5" spans="1:10" x14ac:dyDescent="0.3">
      <c r="A5">
        <v>4</v>
      </c>
      <c r="B5" s="55" t="s">
        <v>843</v>
      </c>
      <c r="C5">
        <v>4</v>
      </c>
      <c r="D5" s="55" t="s">
        <v>1073</v>
      </c>
      <c r="E5">
        <v>4</v>
      </c>
      <c r="F5" s="55" t="s">
        <v>958</v>
      </c>
      <c r="G5">
        <v>4</v>
      </c>
      <c r="H5" s="55" t="s">
        <v>1423</v>
      </c>
      <c r="I5">
        <v>4</v>
      </c>
      <c r="J5" s="55" t="s">
        <v>1188</v>
      </c>
    </row>
    <row r="6" spans="1:10" x14ac:dyDescent="0.3">
      <c r="A6">
        <v>5</v>
      </c>
      <c r="B6" s="55" t="s">
        <v>844</v>
      </c>
      <c r="C6">
        <v>5</v>
      </c>
      <c r="D6" s="55" t="s">
        <v>1074</v>
      </c>
      <c r="E6">
        <v>5</v>
      </c>
      <c r="F6" s="55" t="s">
        <v>959</v>
      </c>
      <c r="G6">
        <v>5</v>
      </c>
      <c r="H6" s="55" t="s">
        <v>1424</v>
      </c>
      <c r="I6">
        <v>5</v>
      </c>
      <c r="J6" s="55" t="s">
        <v>1189</v>
      </c>
    </row>
    <row r="7" spans="1:10" x14ac:dyDescent="0.3">
      <c r="A7">
        <v>6</v>
      </c>
      <c r="B7" s="55" t="s">
        <v>845</v>
      </c>
      <c r="C7">
        <v>6</v>
      </c>
      <c r="D7" s="55" t="s">
        <v>1075</v>
      </c>
      <c r="E7">
        <v>6</v>
      </c>
      <c r="F7" s="55" t="s">
        <v>960</v>
      </c>
      <c r="G7">
        <v>6</v>
      </c>
      <c r="H7" s="55" t="s">
        <v>1425</v>
      </c>
      <c r="I7">
        <v>6</v>
      </c>
      <c r="J7" s="55" t="s">
        <v>1190</v>
      </c>
    </row>
    <row r="8" spans="1:10" x14ac:dyDescent="0.3">
      <c r="A8">
        <v>7</v>
      </c>
      <c r="B8" s="55" t="s">
        <v>846</v>
      </c>
      <c r="C8">
        <v>7</v>
      </c>
      <c r="D8" s="55" t="s">
        <v>1076</v>
      </c>
      <c r="E8">
        <v>7</v>
      </c>
      <c r="F8" s="55" t="s">
        <v>961</v>
      </c>
      <c r="G8">
        <v>7</v>
      </c>
      <c r="H8" s="55" t="s">
        <v>1426</v>
      </c>
      <c r="I8">
        <v>7</v>
      </c>
      <c r="J8" s="55" t="s">
        <v>1191</v>
      </c>
    </row>
    <row r="9" spans="1:10" x14ac:dyDescent="0.3">
      <c r="A9">
        <v>8</v>
      </c>
      <c r="B9" s="55" t="s">
        <v>847</v>
      </c>
      <c r="C9">
        <v>8</v>
      </c>
      <c r="D9" s="55" t="s">
        <v>1077</v>
      </c>
      <c r="E9">
        <v>8</v>
      </c>
      <c r="F9" s="55" t="s">
        <v>962</v>
      </c>
      <c r="G9">
        <v>8</v>
      </c>
      <c r="H9" s="55" t="s">
        <v>1427</v>
      </c>
      <c r="I9">
        <v>8</v>
      </c>
      <c r="J9" s="55" t="s">
        <v>1192</v>
      </c>
    </row>
    <row r="10" spans="1:10" x14ac:dyDescent="0.3">
      <c r="A10">
        <v>9</v>
      </c>
      <c r="B10" s="55" t="s">
        <v>848</v>
      </c>
      <c r="C10">
        <v>9</v>
      </c>
      <c r="D10" s="55" t="s">
        <v>1078</v>
      </c>
      <c r="E10">
        <v>9</v>
      </c>
      <c r="F10" s="55" t="s">
        <v>963</v>
      </c>
      <c r="G10">
        <v>9</v>
      </c>
      <c r="H10" s="55" t="s">
        <v>1428</v>
      </c>
      <c r="I10">
        <v>9</v>
      </c>
      <c r="J10" s="55" t="s">
        <v>1193</v>
      </c>
    </row>
    <row r="11" spans="1:10" x14ac:dyDescent="0.3">
      <c r="A11">
        <v>10</v>
      </c>
      <c r="B11" s="55" t="s">
        <v>849</v>
      </c>
      <c r="C11">
        <v>10</v>
      </c>
      <c r="D11" s="55" t="s">
        <v>1079</v>
      </c>
      <c r="E11">
        <v>10</v>
      </c>
      <c r="F11" s="55" t="s">
        <v>964</v>
      </c>
      <c r="G11">
        <v>10</v>
      </c>
      <c r="H11" s="55" t="s">
        <v>1429</v>
      </c>
      <c r="I11">
        <v>10</v>
      </c>
      <c r="J11" s="55" t="s">
        <v>1194</v>
      </c>
    </row>
    <row r="12" spans="1:10" x14ac:dyDescent="0.3">
      <c r="A12">
        <v>11</v>
      </c>
      <c r="B12" s="55" t="s">
        <v>850</v>
      </c>
      <c r="C12">
        <v>11</v>
      </c>
      <c r="D12" s="55" t="s">
        <v>1080</v>
      </c>
      <c r="E12">
        <v>11</v>
      </c>
      <c r="F12" s="55" t="s">
        <v>965</v>
      </c>
      <c r="G12">
        <v>11</v>
      </c>
      <c r="H12" s="55" t="s">
        <v>1430</v>
      </c>
      <c r="I12">
        <v>11</v>
      </c>
      <c r="J12" s="55" t="s">
        <v>1195</v>
      </c>
    </row>
    <row r="13" spans="1:10" x14ac:dyDescent="0.3">
      <c r="A13">
        <v>12</v>
      </c>
      <c r="B13" s="55" t="s">
        <v>851</v>
      </c>
      <c r="C13">
        <v>12</v>
      </c>
      <c r="D13" s="55" t="s">
        <v>1081</v>
      </c>
      <c r="E13">
        <v>12</v>
      </c>
      <c r="F13" s="55" t="s">
        <v>966</v>
      </c>
      <c r="G13">
        <v>12</v>
      </c>
      <c r="H13" s="55" t="s">
        <v>1431</v>
      </c>
      <c r="I13">
        <v>12</v>
      </c>
      <c r="J13" s="55" t="s">
        <v>1196</v>
      </c>
    </row>
    <row r="14" spans="1:10" x14ac:dyDescent="0.3">
      <c r="A14">
        <v>13</v>
      </c>
      <c r="B14" s="55" t="s">
        <v>852</v>
      </c>
      <c r="C14">
        <v>13</v>
      </c>
      <c r="D14" s="55" t="s">
        <v>1082</v>
      </c>
      <c r="E14">
        <v>13</v>
      </c>
      <c r="F14" s="55" t="s">
        <v>967</v>
      </c>
      <c r="G14">
        <v>13</v>
      </c>
      <c r="H14" s="55" t="s">
        <v>1432</v>
      </c>
      <c r="I14">
        <v>13</v>
      </c>
      <c r="J14" s="55" t="s">
        <v>1197</v>
      </c>
    </row>
    <row r="15" spans="1:10" x14ac:dyDescent="0.3">
      <c r="A15">
        <v>14</v>
      </c>
      <c r="B15" s="55" t="s">
        <v>853</v>
      </c>
      <c r="C15">
        <v>14</v>
      </c>
      <c r="D15" s="55" t="s">
        <v>1083</v>
      </c>
      <c r="E15">
        <v>14</v>
      </c>
      <c r="F15" s="55" t="s">
        <v>968</v>
      </c>
      <c r="G15">
        <v>14</v>
      </c>
      <c r="H15" s="55" t="s">
        <v>1433</v>
      </c>
      <c r="I15">
        <v>14</v>
      </c>
      <c r="J15" s="55" t="s">
        <v>1198</v>
      </c>
    </row>
    <row r="16" spans="1:10" x14ac:dyDescent="0.3">
      <c r="A16">
        <v>15</v>
      </c>
      <c r="B16" s="55" t="s">
        <v>854</v>
      </c>
      <c r="C16">
        <v>15</v>
      </c>
      <c r="D16" s="55" t="s">
        <v>1084</v>
      </c>
      <c r="E16">
        <v>15</v>
      </c>
      <c r="F16" s="55" t="s">
        <v>969</v>
      </c>
      <c r="G16">
        <v>15</v>
      </c>
      <c r="H16" s="55" t="s">
        <v>1434</v>
      </c>
      <c r="I16">
        <v>15</v>
      </c>
      <c r="J16" s="55" t="s">
        <v>1199</v>
      </c>
    </row>
    <row r="17" spans="1:10" x14ac:dyDescent="0.3">
      <c r="A17">
        <v>16</v>
      </c>
      <c r="B17" s="55" t="s">
        <v>855</v>
      </c>
      <c r="C17">
        <v>16</v>
      </c>
      <c r="D17" s="55" t="s">
        <v>1085</v>
      </c>
      <c r="E17">
        <v>16</v>
      </c>
      <c r="F17" s="55" t="s">
        <v>970</v>
      </c>
      <c r="G17">
        <v>16</v>
      </c>
      <c r="H17" s="55" t="s">
        <v>1435</v>
      </c>
      <c r="I17">
        <v>16</v>
      </c>
      <c r="J17" s="55" t="s">
        <v>1200</v>
      </c>
    </row>
    <row r="18" spans="1:10" x14ac:dyDescent="0.3">
      <c r="A18">
        <v>17</v>
      </c>
      <c r="B18" s="55" t="s">
        <v>856</v>
      </c>
      <c r="C18">
        <v>17</v>
      </c>
      <c r="D18" s="55" t="s">
        <v>1086</v>
      </c>
      <c r="E18">
        <v>17</v>
      </c>
      <c r="F18" s="55" t="s">
        <v>971</v>
      </c>
      <c r="G18">
        <v>17</v>
      </c>
      <c r="H18" s="55" t="s">
        <v>1436</v>
      </c>
      <c r="I18">
        <v>17</v>
      </c>
      <c r="J18" s="55" t="s">
        <v>1201</v>
      </c>
    </row>
    <row r="19" spans="1:10" x14ac:dyDescent="0.3">
      <c r="A19">
        <v>18</v>
      </c>
      <c r="B19" s="55" t="s">
        <v>857</v>
      </c>
      <c r="C19">
        <v>18</v>
      </c>
      <c r="D19" s="55" t="s">
        <v>1087</v>
      </c>
      <c r="E19">
        <v>18</v>
      </c>
      <c r="F19" s="55" t="s">
        <v>972</v>
      </c>
      <c r="G19">
        <v>18</v>
      </c>
      <c r="H19" s="55" t="s">
        <v>1437</v>
      </c>
      <c r="I19">
        <v>18</v>
      </c>
      <c r="J19" s="55" t="s">
        <v>1202</v>
      </c>
    </row>
    <row r="20" spans="1:10" x14ac:dyDescent="0.3">
      <c r="A20">
        <v>19</v>
      </c>
      <c r="B20" s="55" t="s">
        <v>858</v>
      </c>
      <c r="C20">
        <v>19</v>
      </c>
      <c r="D20" s="55" t="s">
        <v>1088</v>
      </c>
      <c r="E20">
        <v>19</v>
      </c>
      <c r="F20" s="55" t="s">
        <v>973</v>
      </c>
      <c r="G20">
        <v>19</v>
      </c>
      <c r="H20" s="55" t="s">
        <v>1438</v>
      </c>
      <c r="I20">
        <v>19</v>
      </c>
      <c r="J20" s="55" t="s">
        <v>1203</v>
      </c>
    </row>
    <row r="21" spans="1:10" x14ac:dyDescent="0.3">
      <c r="A21">
        <v>20</v>
      </c>
      <c r="B21" s="55" t="s">
        <v>859</v>
      </c>
      <c r="C21">
        <v>20</v>
      </c>
      <c r="D21" s="55" t="s">
        <v>1089</v>
      </c>
      <c r="E21">
        <v>20</v>
      </c>
      <c r="F21" s="55" t="s">
        <v>974</v>
      </c>
      <c r="G21">
        <v>20</v>
      </c>
      <c r="H21" s="55" t="s">
        <v>1439</v>
      </c>
      <c r="I21">
        <v>20</v>
      </c>
      <c r="J21" s="55" t="s">
        <v>1204</v>
      </c>
    </row>
    <row r="22" spans="1:10" x14ac:dyDescent="0.3">
      <c r="A22">
        <v>21</v>
      </c>
      <c r="B22" s="55" t="s">
        <v>860</v>
      </c>
      <c r="C22">
        <v>21</v>
      </c>
      <c r="D22" s="55" t="s">
        <v>1090</v>
      </c>
      <c r="E22">
        <v>21</v>
      </c>
      <c r="F22" s="55" t="s">
        <v>975</v>
      </c>
      <c r="G22">
        <v>21</v>
      </c>
      <c r="H22" s="55" t="s">
        <v>1440</v>
      </c>
      <c r="I22">
        <v>21</v>
      </c>
      <c r="J22" s="55" t="s">
        <v>1205</v>
      </c>
    </row>
    <row r="23" spans="1:10" x14ac:dyDescent="0.3">
      <c r="A23">
        <v>22</v>
      </c>
      <c r="B23" s="55" t="s">
        <v>861</v>
      </c>
      <c r="C23">
        <v>22</v>
      </c>
      <c r="D23" s="55" t="s">
        <v>1091</v>
      </c>
      <c r="E23">
        <v>22</v>
      </c>
      <c r="F23" s="55" t="s">
        <v>976</v>
      </c>
      <c r="G23">
        <v>22</v>
      </c>
      <c r="H23" s="55" t="s">
        <v>1441</v>
      </c>
      <c r="I23">
        <v>22</v>
      </c>
      <c r="J23" s="55" t="s">
        <v>1206</v>
      </c>
    </row>
    <row r="24" spans="1:10" x14ac:dyDescent="0.3">
      <c r="A24">
        <v>23</v>
      </c>
      <c r="B24" s="55" t="s">
        <v>862</v>
      </c>
      <c r="C24">
        <v>23</v>
      </c>
      <c r="D24" s="55" t="s">
        <v>1092</v>
      </c>
      <c r="E24">
        <v>23</v>
      </c>
      <c r="F24" s="55" t="s">
        <v>977</v>
      </c>
      <c r="G24">
        <v>23</v>
      </c>
      <c r="H24" s="55" t="s">
        <v>1442</v>
      </c>
      <c r="I24">
        <v>23</v>
      </c>
      <c r="J24" s="55" t="s">
        <v>1207</v>
      </c>
    </row>
    <row r="25" spans="1:10" x14ac:dyDescent="0.3">
      <c r="A25">
        <v>24</v>
      </c>
      <c r="B25" s="55" t="s">
        <v>863</v>
      </c>
      <c r="C25">
        <v>24</v>
      </c>
      <c r="D25" s="55" t="s">
        <v>1093</v>
      </c>
      <c r="E25">
        <v>24</v>
      </c>
      <c r="F25" s="55" t="s">
        <v>978</v>
      </c>
      <c r="G25">
        <v>24</v>
      </c>
      <c r="H25" s="55" t="s">
        <v>1443</v>
      </c>
      <c r="I25">
        <v>24</v>
      </c>
      <c r="J25" s="55" t="s">
        <v>1208</v>
      </c>
    </row>
    <row r="26" spans="1:10" x14ac:dyDescent="0.3">
      <c r="A26">
        <v>25</v>
      </c>
      <c r="B26" s="55" t="s">
        <v>864</v>
      </c>
      <c r="C26">
        <v>25</v>
      </c>
      <c r="D26" s="55" t="s">
        <v>1094</v>
      </c>
      <c r="E26">
        <v>25</v>
      </c>
      <c r="F26" s="55" t="s">
        <v>979</v>
      </c>
      <c r="G26">
        <v>25</v>
      </c>
      <c r="H26" s="55" t="s">
        <v>1444</v>
      </c>
      <c r="I26">
        <v>25</v>
      </c>
      <c r="J26" s="55" t="s">
        <v>1209</v>
      </c>
    </row>
    <row r="27" spans="1:10" x14ac:dyDescent="0.3">
      <c r="A27">
        <v>26</v>
      </c>
      <c r="B27" s="55" t="s">
        <v>865</v>
      </c>
      <c r="C27">
        <v>26</v>
      </c>
      <c r="D27" s="55" t="s">
        <v>1095</v>
      </c>
      <c r="E27">
        <v>26</v>
      </c>
      <c r="F27" s="55" t="s">
        <v>980</v>
      </c>
      <c r="G27">
        <v>26</v>
      </c>
      <c r="H27" s="55" t="s">
        <v>1445</v>
      </c>
      <c r="I27">
        <v>26</v>
      </c>
      <c r="J27" s="55" t="s">
        <v>1210</v>
      </c>
    </row>
    <row r="28" spans="1:10" x14ac:dyDescent="0.3">
      <c r="A28">
        <v>27</v>
      </c>
      <c r="B28" s="55" t="s">
        <v>866</v>
      </c>
      <c r="C28">
        <v>27</v>
      </c>
      <c r="D28" s="55" t="s">
        <v>1096</v>
      </c>
      <c r="E28">
        <v>27</v>
      </c>
      <c r="F28" s="55" t="s">
        <v>981</v>
      </c>
      <c r="G28">
        <v>27</v>
      </c>
      <c r="H28" s="55" t="s">
        <v>1446</v>
      </c>
      <c r="I28">
        <v>27</v>
      </c>
      <c r="J28" s="55" t="s">
        <v>1211</v>
      </c>
    </row>
    <row r="29" spans="1:10" x14ac:dyDescent="0.3">
      <c r="A29">
        <v>28</v>
      </c>
      <c r="B29" s="55" t="s">
        <v>867</v>
      </c>
      <c r="C29">
        <v>28</v>
      </c>
      <c r="D29" s="55" t="s">
        <v>1097</v>
      </c>
      <c r="E29">
        <v>28</v>
      </c>
      <c r="F29" s="55" t="s">
        <v>982</v>
      </c>
      <c r="G29">
        <v>28</v>
      </c>
      <c r="H29" s="55" t="s">
        <v>1447</v>
      </c>
      <c r="I29">
        <v>28</v>
      </c>
      <c r="J29" s="55" t="s">
        <v>1212</v>
      </c>
    </row>
    <row r="30" spans="1:10" x14ac:dyDescent="0.3">
      <c r="A30">
        <v>29</v>
      </c>
      <c r="B30" s="55" t="s">
        <v>868</v>
      </c>
      <c r="C30">
        <v>29</v>
      </c>
      <c r="D30" s="55" t="s">
        <v>1098</v>
      </c>
      <c r="E30">
        <v>29</v>
      </c>
      <c r="F30" s="55" t="s">
        <v>983</v>
      </c>
      <c r="G30">
        <v>29</v>
      </c>
      <c r="H30" s="55" t="s">
        <v>1448</v>
      </c>
      <c r="I30">
        <v>29</v>
      </c>
      <c r="J30" s="55" t="s">
        <v>1213</v>
      </c>
    </row>
    <row r="31" spans="1:10" x14ac:dyDescent="0.3">
      <c r="A31">
        <v>30</v>
      </c>
      <c r="B31" s="55" t="s">
        <v>869</v>
      </c>
      <c r="C31">
        <v>30</v>
      </c>
      <c r="D31" s="55" t="s">
        <v>1099</v>
      </c>
      <c r="E31">
        <v>30</v>
      </c>
      <c r="F31" s="55" t="s">
        <v>984</v>
      </c>
      <c r="G31">
        <v>30</v>
      </c>
      <c r="H31" s="55" t="s">
        <v>1449</v>
      </c>
      <c r="I31">
        <v>30</v>
      </c>
      <c r="J31" s="55" t="s">
        <v>1214</v>
      </c>
    </row>
    <row r="32" spans="1:10" x14ac:dyDescent="0.3">
      <c r="A32">
        <v>31</v>
      </c>
      <c r="B32" s="55" t="s">
        <v>870</v>
      </c>
      <c r="C32">
        <v>31</v>
      </c>
      <c r="D32" s="55" t="s">
        <v>1100</v>
      </c>
      <c r="E32">
        <v>31</v>
      </c>
      <c r="F32" s="55" t="s">
        <v>985</v>
      </c>
      <c r="G32">
        <v>31</v>
      </c>
      <c r="H32" s="55" t="s">
        <v>1450</v>
      </c>
      <c r="I32">
        <v>31</v>
      </c>
      <c r="J32" s="55" t="s">
        <v>1215</v>
      </c>
    </row>
    <row r="33" spans="1:10" x14ac:dyDescent="0.3">
      <c r="A33">
        <v>32</v>
      </c>
      <c r="B33" s="55" t="s">
        <v>871</v>
      </c>
      <c r="C33">
        <v>32</v>
      </c>
      <c r="D33" s="55" t="s">
        <v>1101</v>
      </c>
      <c r="E33">
        <v>32</v>
      </c>
      <c r="F33" s="55" t="s">
        <v>986</v>
      </c>
      <c r="G33">
        <v>32</v>
      </c>
      <c r="H33" s="55" t="s">
        <v>1451</v>
      </c>
      <c r="I33">
        <v>32</v>
      </c>
      <c r="J33" s="55" t="s">
        <v>1216</v>
      </c>
    </row>
    <row r="34" spans="1:10" x14ac:dyDescent="0.3">
      <c r="A34">
        <v>33</v>
      </c>
      <c r="B34" s="55" t="s">
        <v>872</v>
      </c>
      <c r="C34">
        <v>33</v>
      </c>
      <c r="D34" s="55" t="s">
        <v>1102</v>
      </c>
      <c r="E34">
        <v>33</v>
      </c>
      <c r="F34" s="55" t="s">
        <v>987</v>
      </c>
      <c r="G34">
        <v>33</v>
      </c>
      <c r="H34" s="55" t="s">
        <v>1452</v>
      </c>
      <c r="I34">
        <v>33</v>
      </c>
      <c r="J34" s="55" t="s">
        <v>1217</v>
      </c>
    </row>
    <row r="35" spans="1:10" x14ac:dyDescent="0.3">
      <c r="A35">
        <v>34</v>
      </c>
      <c r="B35" s="55" t="s">
        <v>873</v>
      </c>
      <c r="C35">
        <v>34</v>
      </c>
      <c r="D35" s="55" t="s">
        <v>1103</v>
      </c>
      <c r="E35">
        <v>34</v>
      </c>
      <c r="F35" s="55" t="s">
        <v>988</v>
      </c>
      <c r="G35">
        <v>34</v>
      </c>
      <c r="H35" s="55" t="s">
        <v>1453</v>
      </c>
      <c r="I35">
        <v>34</v>
      </c>
      <c r="J35" s="55" t="s">
        <v>1218</v>
      </c>
    </row>
    <row r="36" spans="1:10" x14ac:dyDescent="0.3">
      <c r="A36">
        <v>35</v>
      </c>
      <c r="B36" s="55" t="s">
        <v>874</v>
      </c>
      <c r="C36">
        <v>35</v>
      </c>
      <c r="D36" s="55" t="s">
        <v>1104</v>
      </c>
      <c r="E36">
        <v>35</v>
      </c>
      <c r="F36" s="55" t="s">
        <v>989</v>
      </c>
      <c r="G36">
        <v>35</v>
      </c>
      <c r="H36" s="55" t="s">
        <v>1454</v>
      </c>
      <c r="I36">
        <v>35</v>
      </c>
      <c r="J36" s="55" t="s">
        <v>1219</v>
      </c>
    </row>
    <row r="37" spans="1:10" x14ac:dyDescent="0.3">
      <c r="A37">
        <v>36</v>
      </c>
      <c r="B37" s="55" t="s">
        <v>875</v>
      </c>
      <c r="C37">
        <v>36</v>
      </c>
      <c r="D37" s="55" t="s">
        <v>1105</v>
      </c>
      <c r="E37">
        <v>36</v>
      </c>
      <c r="F37" s="55" t="s">
        <v>990</v>
      </c>
      <c r="G37">
        <v>36</v>
      </c>
      <c r="H37" s="55" t="s">
        <v>1455</v>
      </c>
      <c r="I37">
        <v>36</v>
      </c>
      <c r="J37" s="55" t="s">
        <v>1220</v>
      </c>
    </row>
    <row r="38" spans="1:10" x14ac:dyDescent="0.3">
      <c r="A38">
        <v>37</v>
      </c>
      <c r="B38" s="55" t="s">
        <v>876</v>
      </c>
      <c r="C38">
        <v>37</v>
      </c>
      <c r="D38" s="55" t="s">
        <v>1106</v>
      </c>
      <c r="E38">
        <v>37</v>
      </c>
      <c r="F38" s="55" t="s">
        <v>991</v>
      </c>
      <c r="G38">
        <v>37</v>
      </c>
      <c r="H38" s="55" t="s">
        <v>1456</v>
      </c>
      <c r="I38">
        <v>37</v>
      </c>
      <c r="J38" s="55" t="s">
        <v>1221</v>
      </c>
    </row>
    <row r="39" spans="1:10" x14ac:dyDescent="0.3">
      <c r="A39">
        <v>38</v>
      </c>
      <c r="B39" s="55" t="s">
        <v>877</v>
      </c>
      <c r="C39">
        <v>38</v>
      </c>
      <c r="D39" s="55" t="s">
        <v>1107</v>
      </c>
      <c r="E39">
        <v>38</v>
      </c>
      <c r="F39" s="55" t="s">
        <v>992</v>
      </c>
      <c r="G39">
        <v>38</v>
      </c>
      <c r="H39" s="55" t="s">
        <v>1457</v>
      </c>
      <c r="I39">
        <v>38</v>
      </c>
      <c r="J39" s="55" t="s">
        <v>1222</v>
      </c>
    </row>
    <row r="40" spans="1:10" x14ac:dyDescent="0.3">
      <c r="A40">
        <v>39</v>
      </c>
      <c r="B40" s="55" t="s">
        <v>878</v>
      </c>
      <c r="C40">
        <v>39</v>
      </c>
      <c r="D40" s="55" t="s">
        <v>1108</v>
      </c>
      <c r="E40">
        <v>39</v>
      </c>
      <c r="F40" s="55" t="s">
        <v>993</v>
      </c>
      <c r="G40">
        <v>39</v>
      </c>
      <c r="H40" s="55" t="s">
        <v>1458</v>
      </c>
      <c r="I40">
        <v>39</v>
      </c>
      <c r="J40" s="55" t="s">
        <v>1223</v>
      </c>
    </row>
    <row r="41" spans="1:10" x14ac:dyDescent="0.3">
      <c r="A41">
        <v>40</v>
      </c>
      <c r="B41" s="55" t="s">
        <v>879</v>
      </c>
      <c r="C41">
        <v>40</v>
      </c>
      <c r="D41" s="55" t="s">
        <v>1109</v>
      </c>
      <c r="E41">
        <v>40</v>
      </c>
      <c r="F41" s="55" t="s">
        <v>994</v>
      </c>
      <c r="G41">
        <v>40</v>
      </c>
      <c r="H41" s="55" t="s">
        <v>1459</v>
      </c>
      <c r="I41">
        <v>40</v>
      </c>
      <c r="J41" s="55" t="s">
        <v>1224</v>
      </c>
    </row>
    <row r="42" spans="1:10" x14ac:dyDescent="0.3">
      <c r="A42">
        <v>41</v>
      </c>
      <c r="B42" s="55" t="s">
        <v>880</v>
      </c>
      <c r="C42">
        <v>41</v>
      </c>
      <c r="D42" s="55" t="s">
        <v>1110</v>
      </c>
      <c r="E42">
        <v>41</v>
      </c>
      <c r="F42" s="55" t="s">
        <v>995</v>
      </c>
      <c r="G42">
        <v>41</v>
      </c>
      <c r="H42" s="55" t="s">
        <v>1460</v>
      </c>
      <c r="I42">
        <v>41</v>
      </c>
      <c r="J42" s="55" t="s">
        <v>1225</v>
      </c>
    </row>
    <row r="43" spans="1:10" x14ac:dyDescent="0.3">
      <c r="A43">
        <v>42</v>
      </c>
      <c r="B43" s="55" t="s">
        <v>881</v>
      </c>
      <c r="C43">
        <v>42</v>
      </c>
      <c r="D43" s="55" t="s">
        <v>1111</v>
      </c>
      <c r="E43">
        <v>42</v>
      </c>
      <c r="F43" s="55" t="s">
        <v>996</v>
      </c>
      <c r="G43">
        <v>42</v>
      </c>
      <c r="H43" s="55" t="s">
        <v>1461</v>
      </c>
      <c r="I43">
        <v>42</v>
      </c>
      <c r="J43" s="55" t="s">
        <v>1226</v>
      </c>
    </row>
    <row r="44" spans="1:10" x14ac:dyDescent="0.3">
      <c r="A44">
        <v>43</v>
      </c>
      <c r="B44" s="55" t="s">
        <v>882</v>
      </c>
      <c r="C44">
        <v>43</v>
      </c>
      <c r="D44" s="55" t="s">
        <v>1112</v>
      </c>
      <c r="E44">
        <v>43</v>
      </c>
      <c r="F44" s="55" t="s">
        <v>997</v>
      </c>
      <c r="G44">
        <v>43</v>
      </c>
      <c r="H44" s="55" t="s">
        <v>1462</v>
      </c>
      <c r="I44">
        <v>43</v>
      </c>
      <c r="J44" s="55" t="s">
        <v>1227</v>
      </c>
    </row>
    <row r="45" spans="1:10" x14ac:dyDescent="0.3">
      <c r="A45">
        <v>44</v>
      </c>
      <c r="B45" s="55" t="s">
        <v>883</v>
      </c>
      <c r="C45">
        <v>44</v>
      </c>
      <c r="D45" s="55" t="s">
        <v>1113</v>
      </c>
      <c r="E45">
        <v>44</v>
      </c>
      <c r="F45" s="55" t="s">
        <v>998</v>
      </c>
      <c r="G45">
        <v>44</v>
      </c>
      <c r="H45" s="55" t="s">
        <v>1463</v>
      </c>
      <c r="I45">
        <v>44</v>
      </c>
      <c r="J45" s="55" t="s">
        <v>1228</v>
      </c>
    </row>
    <row r="46" spans="1:10" x14ac:dyDescent="0.3">
      <c r="A46">
        <v>45</v>
      </c>
      <c r="B46" s="55" t="s">
        <v>884</v>
      </c>
      <c r="C46">
        <v>45</v>
      </c>
      <c r="D46" s="55" t="s">
        <v>1114</v>
      </c>
      <c r="E46">
        <v>45</v>
      </c>
      <c r="F46" s="55" t="s">
        <v>999</v>
      </c>
      <c r="G46">
        <v>45</v>
      </c>
      <c r="H46" s="55" t="s">
        <v>1464</v>
      </c>
      <c r="I46">
        <v>45</v>
      </c>
      <c r="J46" s="55" t="s">
        <v>1229</v>
      </c>
    </row>
    <row r="47" spans="1:10" x14ac:dyDescent="0.3">
      <c r="A47">
        <v>46</v>
      </c>
      <c r="B47" s="55" t="s">
        <v>885</v>
      </c>
      <c r="C47">
        <v>46</v>
      </c>
      <c r="D47" s="55" t="s">
        <v>1115</v>
      </c>
      <c r="E47">
        <v>46</v>
      </c>
      <c r="F47" s="55" t="s">
        <v>1000</v>
      </c>
      <c r="G47">
        <v>46</v>
      </c>
      <c r="H47" s="55" t="s">
        <v>1465</v>
      </c>
      <c r="I47">
        <v>46</v>
      </c>
      <c r="J47" s="55" t="s">
        <v>1230</v>
      </c>
    </row>
    <row r="48" spans="1:10" x14ac:dyDescent="0.3">
      <c r="A48">
        <v>47</v>
      </c>
      <c r="B48" s="55" t="s">
        <v>886</v>
      </c>
      <c r="C48">
        <v>47</v>
      </c>
      <c r="D48" s="55" t="s">
        <v>1116</v>
      </c>
      <c r="E48">
        <v>47</v>
      </c>
      <c r="F48" s="55" t="s">
        <v>1001</v>
      </c>
      <c r="G48">
        <v>47</v>
      </c>
      <c r="H48" s="55" t="s">
        <v>1466</v>
      </c>
      <c r="I48">
        <v>47</v>
      </c>
      <c r="J48" s="55" t="s">
        <v>1231</v>
      </c>
    </row>
    <row r="49" spans="1:10" x14ac:dyDescent="0.3">
      <c r="A49">
        <v>48</v>
      </c>
      <c r="B49" s="55" t="s">
        <v>887</v>
      </c>
      <c r="C49">
        <v>48</v>
      </c>
      <c r="D49" s="55" t="s">
        <v>1117</v>
      </c>
      <c r="E49">
        <v>48</v>
      </c>
      <c r="F49" s="55" t="s">
        <v>1002</v>
      </c>
      <c r="G49">
        <v>48</v>
      </c>
      <c r="H49" s="55" t="s">
        <v>1467</v>
      </c>
      <c r="I49">
        <v>48</v>
      </c>
      <c r="J49" s="55" t="s">
        <v>1232</v>
      </c>
    </row>
    <row r="50" spans="1:10" x14ac:dyDescent="0.3">
      <c r="A50">
        <v>49</v>
      </c>
      <c r="B50" s="55" t="s">
        <v>888</v>
      </c>
      <c r="C50">
        <v>49</v>
      </c>
      <c r="D50" s="55" t="s">
        <v>1118</v>
      </c>
      <c r="E50">
        <v>49</v>
      </c>
      <c r="F50" s="55" t="s">
        <v>1003</v>
      </c>
      <c r="G50">
        <v>49</v>
      </c>
      <c r="H50" s="55" t="s">
        <v>1468</v>
      </c>
      <c r="I50">
        <v>49</v>
      </c>
      <c r="J50" s="55" t="s">
        <v>1233</v>
      </c>
    </row>
    <row r="51" spans="1:10" x14ac:dyDescent="0.3">
      <c r="A51">
        <v>50</v>
      </c>
      <c r="B51" s="55" t="s">
        <v>889</v>
      </c>
      <c r="C51">
        <v>50</v>
      </c>
      <c r="D51" s="55" t="s">
        <v>1119</v>
      </c>
      <c r="E51">
        <v>50</v>
      </c>
      <c r="F51" s="55" t="s">
        <v>1004</v>
      </c>
      <c r="G51">
        <v>50</v>
      </c>
      <c r="H51" s="55" t="s">
        <v>1469</v>
      </c>
      <c r="I51">
        <v>50</v>
      </c>
      <c r="J51" s="55" t="s">
        <v>1234</v>
      </c>
    </row>
    <row r="52" spans="1:10" x14ac:dyDescent="0.3">
      <c r="A52">
        <v>51</v>
      </c>
      <c r="B52" s="55" t="s">
        <v>890</v>
      </c>
      <c r="C52">
        <v>51</v>
      </c>
      <c r="D52" s="55" t="s">
        <v>1120</v>
      </c>
      <c r="E52">
        <v>51</v>
      </c>
      <c r="F52" s="55" t="s">
        <v>1005</v>
      </c>
      <c r="G52">
        <v>51</v>
      </c>
      <c r="H52" s="55" t="s">
        <v>1470</v>
      </c>
      <c r="I52">
        <v>51</v>
      </c>
      <c r="J52" s="55" t="s">
        <v>1235</v>
      </c>
    </row>
    <row r="53" spans="1:10" x14ac:dyDescent="0.3">
      <c r="A53">
        <v>52</v>
      </c>
      <c r="B53" s="55" t="s">
        <v>891</v>
      </c>
      <c r="C53">
        <v>52</v>
      </c>
      <c r="D53" s="55" t="s">
        <v>1121</v>
      </c>
      <c r="E53">
        <v>52</v>
      </c>
      <c r="F53" s="55" t="s">
        <v>1006</v>
      </c>
      <c r="G53">
        <v>52</v>
      </c>
      <c r="H53" s="55" t="s">
        <v>1471</v>
      </c>
      <c r="I53">
        <v>52</v>
      </c>
      <c r="J53" s="55" t="s">
        <v>1236</v>
      </c>
    </row>
    <row r="54" spans="1:10" x14ac:dyDescent="0.3">
      <c r="A54">
        <v>53</v>
      </c>
      <c r="B54" s="55" t="s">
        <v>892</v>
      </c>
      <c r="C54">
        <v>53</v>
      </c>
      <c r="D54" s="55" t="s">
        <v>1122</v>
      </c>
      <c r="E54">
        <v>53</v>
      </c>
      <c r="F54" s="55" t="s">
        <v>1007</v>
      </c>
      <c r="G54">
        <v>53</v>
      </c>
      <c r="H54" s="55" t="s">
        <v>1472</v>
      </c>
      <c r="I54">
        <v>53</v>
      </c>
      <c r="J54" s="55" t="s">
        <v>1237</v>
      </c>
    </row>
    <row r="55" spans="1:10" x14ac:dyDescent="0.3">
      <c r="A55">
        <v>54</v>
      </c>
      <c r="B55" s="55" t="s">
        <v>893</v>
      </c>
      <c r="C55">
        <v>54</v>
      </c>
      <c r="D55" s="55" t="s">
        <v>1123</v>
      </c>
      <c r="E55">
        <v>54</v>
      </c>
      <c r="F55" s="55" t="s">
        <v>1008</v>
      </c>
      <c r="G55">
        <v>54</v>
      </c>
      <c r="H55" s="55" t="s">
        <v>1473</v>
      </c>
      <c r="I55">
        <v>54</v>
      </c>
      <c r="J55" s="55" t="s">
        <v>1238</v>
      </c>
    </row>
    <row r="56" spans="1:10" x14ac:dyDescent="0.3">
      <c r="A56">
        <v>55</v>
      </c>
      <c r="B56" s="55" t="s">
        <v>894</v>
      </c>
      <c r="C56">
        <v>55</v>
      </c>
      <c r="D56" s="55" t="s">
        <v>1124</v>
      </c>
      <c r="E56">
        <v>55</v>
      </c>
      <c r="F56" s="55" t="s">
        <v>1009</v>
      </c>
      <c r="G56">
        <v>55</v>
      </c>
      <c r="H56" s="55" t="s">
        <v>1474</v>
      </c>
      <c r="I56">
        <v>55</v>
      </c>
      <c r="J56" s="55" t="s">
        <v>1239</v>
      </c>
    </row>
    <row r="57" spans="1:10" x14ac:dyDescent="0.3">
      <c r="A57">
        <v>56</v>
      </c>
      <c r="B57" s="55" t="s">
        <v>895</v>
      </c>
      <c r="C57">
        <v>56</v>
      </c>
      <c r="D57" s="55" t="s">
        <v>1125</v>
      </c>
      <c r="E57">
        <v>56</v>
      </c>
      <c r="F57" s="55" t="s">
        <v>1010</v>
      </c>
      <c r="G57">
        <v>56</v>
      </c>
      <c r="H57" s="55" t="s">
        <v>1475</v>
      </c>
      <c r="I57">
        <v>56</v>
      </c>
      <c r="J57" s="55" t="s">
        <v>1240</v>
      </c>
    </row>
    <row r="58" spans="1:10" x14ac:dyDescent="0.3">
      <c r="A58">
        <v>57</v>
      </c>
      <c r="B58" s="55" t="s">
        <v>896</v>
      </c>
      <c r="C58">
        <v>57</v>
      </c>
      <c r="D58" s="55" t="s">
        <v>1126</v>
      </c>
      <c r="E58">
        <v>57</v>
      </c>
      <c r="F58" s="55" t="s">
        <v>1011</v>
      </c>
      <c r="G58">
        <v>57</v>
      </c>
      <c r="H58" s="55" t="s">
        <v>1476</v>
      </c>
      <c r="I58">
        <v>57</v>
      </c>
      <c r="J58" s="55" t="s">
        <v>1241</v>
      </c>
    </row>
    <row r="59" spans="1:10" x14ac:dyDescent="0.3">
      <c r="A59">
        <v>58</v>
      </c>
      <c r="B59" s="55" t="s">
        <v>897</v>
      </c>
      <c r="C59">
        <v>58</v>
      </c>
      <c r="D59" s="55" t="s">
        <v>1127</v>
      </c>
      <c r="E59">
        <v>58</v>
      </c>
      <c r="F59" s="55" t="s">
        <v>1012</v>
      </c>
      <c r="G59">
        <v>58</v>
      </c>
      <c r="H59" s="55" t="s">
        <v>1477</v>
      </c>
      <c r="I59">
        <v>58</v>
      </c>
      <c r="J59" s="55" t="s">
        <v>1242</v>
      </c>
    </row>
    <row r="60" spans="1:10" x14ac:dyDescent="0.3">
      <c r="A60">
        <v>59</v>
      </c>
      <c r="B60" s="55" t="s">
        <v>898</v>
      </c>
      <c r="C60">
        <v>59</v>
      </c>
      <c r="D60" s="55" t="s">
        <v>1128</v>
      </c>
      <c r="E60">
        <v>59</v>
      </c>
      <c r="F60" s="55" t="s">
        <v>1013</v>
      </c>
      <c r="G60">
        <v>59</v>
      </c>
      <c r="H60" s="55" t="s">
        <v>1478</v>
      </c>
      <c r="I60">
        <v>59</v>
      </c>
      <c r="J60" s="55" t="s">
        <v>1243</v>
      </c>
    </row>
    <row r="61" spans="1:10" x14ac:dyDescent="0.3">
      <c r="A61">
        <v>60</v>
      </c>
      <c r="B61" s="55" t="s">
        <v>899</v>
      </c>
      <c r="C61">
        <v>60</v>
      </c>
      <c r="D61" s="55" t="s">
        <v>1129</v>
      </c>
      <c r="E61">
        <v>60</v>
      </c>
      <c r="F61" s="55" t="s">
        <v>1014</v>
      </c>
      <c r="G61">
        <v>60</v>
      </c>
      <c r="H61" s="55" t="s">
        <v>1479</v>
      </c>
      <c r="I61">
        <v>60</v>
      </c>
      <c r="J61" s="55" t="s">
        <v>1244</v>
      </c>
    </row>
    <row r="62" spans="1:10" x14ac:dyDescent="0.3">
      <c r="A62">
        <v>61</v>
      </c>
      <c r="B62" s="55" t="s">
        <v>900</v>
      </c>
      <c r="C62">
        <v>61</v>
      </c>
      <c r="D62" s="55" t="s">
        <v>1130</v>
      </c>
      <c r="E62">
        <v>61</v>
      </c>
      <c r="F62" s="55" t="s">
        <v>1015</v>
      </c>
      <c r="G62">
        <v>61</v>
      </c>
      <c r="H62" s="55" t="s">
        <v>1480</v>
      </c>
      <c r="I62">
        <v>61</v>
      </c>
      <c r="J62" s="55" t="s">
        <v>1245</v>
      </c>
    </row>
    <row r="63" spans="1:10" x14ac:dyDescent="0.3">
      <c r="A63">
        <v>62</v>
      </c>
      <c r="B63" s="55" t="s">
        <v>901</v>
      </c>
      <c r="C63">
        <v>62</v>
      </c>
      <c r="D63" s="55" t="s">
        <v>1131</v>
      </c>
      <c r="E63">
        <v>62</v>
      </c>
      <c r="F63" s="55" t="s">
        <v>1016</v>
      </c>
      <c r="G63">
        <v>62</v>
      </c>
      <c r="H63" s="55" t="s">
        <v>1481</v>
      </c>
      <c r="I63">
        <v>62</v>
      </c>
      <c r="J63" s="55" t="s">
        <v>1246</v>
      </c>
    </row>
    <row r="64" spans="1:10" x14ac:dyDescent="0.3">
      <c r="A64">
        <v>63</v>
      </c>
      <c r="B64" s="55" t="s">
        <v>902</v>
      </c>
      <c r="C64">
        <v>63</v>
      </c>
      <c r="D64" s="55" t="s">
        <v>1132</v>
      </c>
      <c r="E64">
        <v>63</v>
      </c>
      <c r="F64" s="55" t="s">
        <v>1017</v>
      </c>
      <c r="G64">
        <v>63</v>
      </c>
      <c r="H64" s="55" t="s">
        <v>1482</v>
      </c>
      <c r="I64">
        <v>63</v>
      </c>
      <c r="J64" s="55" t="s">
        <v>1247</v>
      </c>
    </row>
    <row r="65" spans="1:10" x14ac:dyDescent="0.3">
      <c r="A65">
        <v>64</v>
      </c>
      <c r="B65" s="55" t="s">
        <v>903</v>
      </c>
      <c r="C65">
        <v>64</v>
      </c>
      <c r="D65" s="55" t="s">
        <v>1133</v>
      </c>
      <c r="E65">
        <v>64</v>
      </c>
      <c r="F65" s="55" t="s">
        <v>1018</v>
      </c>
      <c r="G65">
        <v>64</v>
      </c>
      <c r="H65" s="55" t="s">
        <v>1483</v>
      </c>
      <c r="I65">
        <v>64</v>
      </c>
      <c r="J65" s="55" t="s">
        <v>1248</v>
      </c>
    </row>
    <row r="66" spans="1:10" x14ac:dyDescent="0.3">
      <c r="A66">
        <v>65</v>
      </c>
      <c r="B66" s="55" t="s">
        <v>904</v>
      </c>
      <c r="C66">
        <v>65</v>
      </c>
      <c r="D66" s="55" t="s">
        <v>1134</v>
      </c>
      <c r="E66">
        <v>65</v>
      </c>
      <c r="F66" s="55" t="s">
        <v>1019</v>
      </c>
      <c r="G66">
        <v>65</v>
      </c>
      <c r="H66" s="55" t="s">
        <v>1484</v>
      </c>
      <c r="I66">
        <v>65</v>
      </c>
      <c r="J66" s="55" t="s">
        <v>1249</v>
      </c>
    </row>
    <row r="67" spans="1:10" x14ac:dyDescent="0.3">
      <c r="A67">
        <v>66</v>
      </c>
      <c r="B67" s="55" t="s">
        <v>905</v>
      </c>
      <c r="C67">
        <v>66</v>
      </c>
      <c r="D67" s="55" t="s">
        <v>1135</v>
      </c>
      <c r="E67">
        <v>66</v>
      </c>
      <c r="F67" s="55" t="s">
        <v>1020</v>
      </c>
      <c r="G67">
        <v>66</v>
      </c>
      <c r="H67" s="55" t="s">
        <v>1485</v>
      </c>
      <c r="I67">
        <v>66</v>
      </c>
      <c r="J67" s="55" t="s">
        <v>1250</v>
      </c>
    </row>
    <row r="68" spans="1:10" x14ac:dyDescent="0.3">
      <c r="A68">
        <v>67</v>
      </c>
      <c r="B68" s="55" t="s">
        <v>906</v>
      </c>
      <c r="C68">
        <v>67</v>
      </c>
      <c r="D68" s="55" t="s">
        <v>1136</v>
      </c>
      <c r="E68">
        <v>67</v>
      </c>
      <c r="F68" s="55" t="s">
        <v>1021</v>
      </c>
      <c r="G68">
        <v>67</v>
      </c>
      <c r="H68" s="55" t="s">
        <v>1486</v>
      </c>
      <c r="I68">
        <v>67</v>
      </c>
      <c r="J68" s="55" t="s">
        <v>1251</v>
      </c>
    </row>
    <row r="69" spans="1:10" x14ac:dyDescent="0.3">
      <c r="A69">
        <v>68</v>
      </c>
      <c r="B69" s="55" t="s">
        <v>907</v>
      </c>
      <c r="C69">
        <v>68</v>
      </c>
      <c r="D69" s="55" t="s">
        <v>1137</v>
      </c>
      <c r="E69">
        <v>68</v>
      </c>
      <c r="F69" s="55" t="s">
        <v>1022</v>
      </c>
      <c r="G69">
        <v>68</v>
      </c>
      <c r="H69" s="55" t="s">
        <v>1487</v>
      </c>
      <c r="I69">
        <v>68</v>
      </c>
      <c r="J69" s="55" t="s">
        <v>1252</v>
      </c>
    </row>
    <row r="70" spans="1:10" x14ac:dyDescent="0.3">
      <c r="A70">
        <v>69</v>
      </c>
      <c r="B70" s="55" t="s">
        <v>908</v>
      </c>
      <c r="C70">
        <v>69</v>
      </c>
      <c r="D70" s="55" t="s">
        <v>1138</v>
      </c>
      <c r="E70">
        <v>69</v>
      </c>
      <c r="F70" s="55" t="s">
        <v>1023</v>
      </c>
      <c r="G70">
        <v>69</v>
      </c>
      <c r="H70" s="55" t="s">
        <v>1488</v>
      </c>
      <c r="I70">
        <v>69</v>
      </c>
      <c r="J70" s="55" t="s">
        <v>1253</v>
      </c>
    </row>
    <row r="71" spans="1:10" x14ac:dyDescent="0.3">
      <c r="A71">
        <v>70</v>
      </c>
      <c r="B71" s="55" t="s">
        <v>909</v>
      </c>
      <c r="C71">
        <v>70</v>
      </c>
      <c r="D71" s="55" t="s">
        <v>1139</v>
      </c>
      <c r="E71">
        <v>70</v>
      </c>
      <c r="F71" s="55" t="s">
        <v>1024</v>
      </c>
      <c r="G71">
        <v>70</v>
      </c>
      <c r="H71" s="55" t="s">
        <v>1489</v>
      </c>
      <c r="I71">
        <v>70</v>
      </c>
      <c r="J71" s="55" t="s">
        <v>1254</v>
      </c>
    </row>
    <row r="72" spans="1:10" x14ac:dyDescent="0.3">
      <c r="A72">
        <v>71</v>
      </c>
      <c r="B72" s="55" t="s">
        <v>910</v>
      </c>
      <c r="C72">
        <v>71</v>
      </c>
      <c r="D72" s="55" t="s">
        <v>1140</v>
      </c>
      <c r="E72">
        <v>71</v>
      </c>
      <c r="F72" s="55" t="s">
        <v>1025</v>
      </c>
      <c r="G72">
        <v>71</v>
      </c>
      <c r="H72" s="55" t="s">
        <v>1490</v>
      </c>
      <c r="I72">
        <v>71</v>
      </c>
      <c r="J72" s="55" t="s">
        <v>1255</v>
      </c>
    </row>
    <row r="73" spans="1:10" x14ac:dyDescent="0.3">
      <c r="A73">
        <v>72</v>
      </c>
      <c r="B73" s="55" t="s">
        <v>911</v>
      </c>
      <c r="C73">
        <v>72</v>
      </c>
      <c r="D73" s="55" t="s">
        <v>1141</v>
      </c>
      <c r="E73">
        <v>72</v>
      </c>
      <c r="F73" s="55" t="s">
        <v>1026</v>
      </c>
      <c r="G73">
        <v>72</v>
      </c>
      <c r="H73" s="55" t="s">
        <v>1491</v>
      </c>
      <c r="I73">
        <v>72</v>
      </c>
      <c r="J73" s="55" t="s">
        <v>1256</v>
      </c>
    </row>
    <row r="74" spans="1:10" x14ac:dyDescent="0.3">
      <c r="A74">
        <v>73</v>
      </c>
      <c r="B74" s="55" t="s">
        <v>912</v>
      </c>
      <c r="C74">
        <v>73</v>
      </c>
      <c r="D74" s="55" t="s">
        <v>1142</v>
      </c>
      <c r="E74">
        <v>73</v>
      </c>
      <c r="F74" s="55" t="s">
        <v>1027</v>
      </c>
      <c r="G74">
        <v>73</v>
      </c>
      <c r="H74" s="55" t="s">
        <v>1492</v>
      </c>
      <c r="I74">
        <v>73</v>
      </c>
      <c r="J74" s="55" t="s">
        <v>1257</v>
      </c>
    </row>
    <row r="75" spans="1:10" x14ac:dyDescent="0.3">
      <c r="A75">
        <v>74</v>
      </c>
      <c r="B75" s="55" t="s">
        <v>913</v>
      </c>
      <c r="C75">
        <v>74</v>
      </c>
      <c r="D75" s="55" t="s">
        <v>1143</v>
      </c>
      <c r="E75">
        <v>74</v>
      </c>
      <c r="F75" s="55" t="s">
        <v>1028</v>
      </c>
      <c r="G75">
        <v>74</v>
      </c>
      <c r="H75" s="55" t="s">
        <v>1493</v>
      </c>
      <c r="I75">
        <v>74</v>
      </c>
      <c r="J75" s="55" t="s">
        <v>1258</v>
      </c>
    </row>
    <row r="76" spans="1:10" x14ac:dyDescent="0.3">
      <c r="A76">
        <v>75</v>
      </c>
      <c r="B76" s="55" t="s">
        <v>914</v>
      </c>
      <c r="C76">
        <v>75</v>
      </c>
      <c r="D76" s="55" t="s">
        <v>1144</v>
      </c>
      <c r="E76">
        <v>75</v>
      </c>
      <c r="F76" s="55" t="s">
        <v>1029</v>
      </c>
      <c r="G76">
        <v>75</v>
      </c>
      <c r="H76" s="55" t="s">
        <v>1494</v>
      </c>
      <c r="I76">
        <v>75</v>
      </c>
      <c r="J76" s="55" t="s">
        <v>1259</v>
      </c>
    </row>
    <row r="77" spans="1:10" x14ac:dyDescent="0.3">
      <c r="A77">
        <v>76</v>
      </c>
      <c r="B77" s="55" t="s">
        <v>915</v>
      </c>
      <c r="C77">
        <v>76</v>
      </c>
      <c r="D77" s="55" t="s">
        <v>1145</v>
      </c>
      <c r="E77">
        <v>76</v>
      </c>
      <c r="F77" s="55" t="s">
        <v>1030</v>
      </c>
      <c r="G77">
        <v>76</v>
      </c>
      <c r="H77" s="55" t="s">
        <v>1495</v>
      </c>
      <c r="I77">
        <v>76</v>
      </c>
      <c r="J77" s="55" t="s">
        <v>1260</v>
      </c>
    </row>
    <row r="78" spans="1:10" x14ac:dyDescent="0.3">
      <c r="A78">
        <v>77</v>
      </c>
      <c r="B78" s="55" t="s">
        <v>916</v>
      </c>
      <c r="C78">
        <v>77</v>
      </c>
      <c r="D78" s="55" t="s">
        <v>1146</v>
      </c>
      <c r="E78">
        <v>77</v>
      </c>
      <c r="F78" s="55" t="s">
        <v>1031</v>
      </c>
      <c r="G78">
        <v>77</v>
      </c>
      <c r="H78" s="55" t="s">
        <v>1496</v>
      </c>
      <c r="I78">
        <v>77</v>
      </c>
      <c r="J78" s="55" t="s">
        <v>1261</v>
      </c>
    </row>
    <row r="79" spans="1:10" x14ac:dyDescent="0.3">
      <c r="A79">
        <v>78</v>
      </c>
      <c r="B79" s="55" t="s">
        <v>917</v>
      </c>
      <c r="C79">
        <v>78</v>
      </c>
      <c r="D79" s="55" t="s">
        <v>1147</v>
      </c>
      <c r="E79">
        <v>78</v>
      </c>
      <c r="F79" s="55" t="s">
        <v>1032</v>
      </c>
      <c r="G79">
        <v>78</v>
      </c>
      <c r="H79" s="55" t="s">
        <v>1497</v>
      </c>
      <c r="I79">
        <v>78</v>
      </c>
      <c r="J79" s="55" t="s">
        <v>1262</v>
      </c>
    </row>
    <row r="80" spans="1:10" x14ac:dyDescent="0.3">
      <c r="A80">
        <v>79</v>
      </c>
      <c r="B80" s="55" t="s">
        <v>918</v>
      </c>
      <c r="C80">
        <v>79</v>
      </c>
      <c r="D80" s="55" t="s">
        <v>1148</v>
      </c>
      <c r="E80">
        <v>79</v>
      </c>
      <c r="F80" s="55" t="s">
        <v>1033</v>
      </c>
      <c r="G80">
        <v>79</v>
      </c>
      <c r="H80" s="55" t="s">
        <v>1498</v>
      </c>
      <c r="I80">
        <v>79</v>
      </c>
      <c r="J80" s="55" t="s">
        <v>1263</v>
      </c>
    </row>
    <row r="81" spans="1:10" x14ac:dyDescent="0.3">
      <c r="A81">
        <v>80</v>
      </c>
      <c r="B81" s="55" t="s">
        <v>919</v>
      </c>
      <c r="C81">
        <v>80</v>
      </c>
      <c r="D81" s="55" t="s">
        <v>1149</v>
      </c>
      <c r="E81">
        <v>80</v>
      </c>
      <c r="F81" s="55" t="s">
        <v>1034</v>
      </c>
      <c r="G81">
        <v>80</v>
      </c>
      <c r="H81" s="55" t="s">
        <v>1499</v>
      </c>
      <c r="I81">
        <v>80</v>
      </c>
      <c r="J81" s="55" t="s">
        <v>1264</v>
      </c>
    </row>
    <row r="82" spans="1:10" x14ac:dyDescent="0.3">
      <c r="A82">
        <v>81</v>
      </c>
      <c r="B82" s="55" t="s">
        <v>920</v>
      </c>
      <c r="C82">
        <v>81</v>
      </c>
      <c r="D82" s="55" t="s">
        <v>1150</v>
      </c>
      <c r="E82">
        <v>81</v>
      </c>
      <c r="F82" s="55" t="s">
        <v>1035</v>
      </c>
      <c r="G82">
        <v>81</v>
      </c>
      <c r="H82" s="55" t="s">
        <v>1500</v>
      </c>
      <c r="I82">
        <v>81</v>
      </c>
      <c r="J82" s="55" t="s">
        <v>1265</v>
      </c>
    </row>
    <row r="83" spans="1:10" x14ac:dyDescent="0.3">
      <c r="A83">
        <v>82</v>
      </c>
      <c r="B83" s="55" t="s">
        <v>921</v>
      </c>
      <c r="C83">
        <v>82</v>
      </c>
      <c r="D83" s="55" t="s">
        <v>1151</v>
      </c>
      <c r="E83">
        <v>82</v>
      </c>
      <c r="F83" s="55" t="s">
        <v>1036</v>
      </c>
      <c r="G83">
        <v>82</v>
      </c>
      <c r="H83" s="55" t="s">
        <v>1501</v>
      </c>
      <c r="I83">
        <v>82</v>
      </c>
      <c r="J83" s="55" t="s">
        <v>1266</v>
      </c>
    </row>
    <row r="84" spans="1:10" x14ac:dyDescent="0.3">
      <c r="A84">
        <v>83</v>
      </c>
      <c r="B84" s="55" t="s">
        <v>922</v>
      </c>
      <c r="C84">
        <v>83</v>
      </c>
      <c r="D84" s="55" t="s">
        <v>1152</v>
      </c>
      <c r="E84">
        <v>83</v>
      </c>
      <c r="F84" s="55" t="s">
        <v>1037</v>
      </c>
      <c r="G84">
        <v>83</v>
      </c>
      <c r="H84" s="55" t="s">
        <v>1502</v>
      </c>
      <c r="I84">
        <v>83</v>
      </c>
      <c r="J84" s="55" t="s">
        <v>1267</v>
      </c>
    </row>
    <row r="85" spans="1:10" x14ac:dyDescent="0.3">
      <c r="A85">
        <v>84</v>
      </c>
      <c r="B85" s="55" t="s">
        <v>923</v>
      </c>
      <c r="C85">
        <v>84</v>
      </c>
      <c r="D85" s="55" t="s">
        <v>1153</v>
      </c>
      <c r="E85">
        <v>84</v>
      </c>
      <c r="F85" s="55" t="s">
        <v>1038</v>
      </c>
      <c r="G85">
        <v>84</v>
      </c>
      <c r="H85" s="55" t="s">
        <v>1503</v>
      </c>
      <c r="I85">
        <v>84</v>
      </c>
      <c r="J85" s="55" t="s">
        <v>1268</v>
      </c>
    </row>
    <row r="86" spans="1:10" x14ac:dyDescent="0.3">
      <c r="A86">
        <v>85</v>
      </c>
      <c r="B86" s="55" t="s">
        <v>924</v>
      </c>
      <c r="C86">
        <v>85</v>
      </c>
      <c r="D86" s="55" t="s">
        <v>1154</v>
      </c>
      <c r="E86">
        <v>85</v>
      </c>
      <c r="F86" s="55" t="s">
        <v>1039</v>
      </c>
      <c r="G86">
        <v>85</v>
      </c>
      <c r="H86" s="55" t="s">
        <v>1504</v>
      </c>
      <c r="I86">
        <v>85</v>
      </c>
      <c r="J86" s="55" t="s">
        <v>1269</v>
      </c>
    </row>
    <row r="87" spans="1:10" x14ac:dyDescent="0.3">
      <c r="A87">
        <v>86</v>
      </c>
      <c r="B87" s="55" t="s">
        <v>925</v>
      </c>
      <c r="C87">
        <v>86</v>
      </c>
      <c r="D87" s="55" t="s">
        <v>1155</v>
      </c>
      <c r="E87">
        <v>86</v>
      </c>
      <c r="F87" s="55" t="s">
        <v>1040</v>
      </c>
      <c r="G87">
        <v>86</v>
      </c>
      <c r="H87" s="55" t="s">
        <v>1505</v>
      </c>
      <c r="I87">
        <v>86</v>
      </c>
      <c r="J87" s="55" t="s">
        <v>1270</v>
      </c>
    </row>
    <row r="88" spans="1:10" x14ac:dyDescent="0.3">
      <c r="A88">
        <v>87</v>
      </c>
      <c r="B88" s="55" t="s">
        <v>926</v>
      </c>
      <c r="C88">
        <v>87</v>
      </c>
      <c r="D88" s="55" t="s">
        <v>1156</v>
      </c>
      <c r="E88">
        <v>87</v>
      </c>
      <c r="F88" s="55" t="s">
        <v>1041</v>
      </c>
      <c r="G88">
        <v>87</v>
      </c>
      <c r="H88" s="55" t="s">
        <v>1506</v>
      </c>
      <c r="I88">
        <v>87</v>
      </c>
      <c r="J88" s="55" t="s">
        <v>1271</v>
      </c>
    </row>
    <row r="89" spans="1:10" x14ac:dyDescent="0.3">
      <c r="A89">
        <v>88</v>
      </c>
      <c r="B89" s="55" t="s">
        <v>927</v>
      </c>
      <c r="C89">
        <v>88</v>
      </c>
      <c r="D89" s="55" t="s">
        <v>1157</v>
      </c>
      <c r="E89">
        <v>88</v>
      </c>
      <c r="F89" s="55" t="s">
        <v>1042</v>
      </c>
      <c r="G89">
        <v>88</v>
      </c>
      <c r="H89" s="55" t="s">
        <v>1507</v>
      </c>
      <c r="I89">
        <v>88</v>
      </c>
      <c r="J89" s="55" t="s">
        <v>1272</v>
      </c>
    </row>
    <row r="90" spans="1:10" x14ac:dyDescent="0.3">
      <c r="A90">
        <v>89</v>
      </c>
      <c r="B90" s="55" t="s">
        <v>928</v>
      </c>
      <c r="C90">
        <v>89</v>
      </c>
      <c r="D90" s="55" t="s">
        <v>1158</v>
      </c>
      <c r="E90">
        <v>89</v>
      </c>
      <c r="F90" s="55" t="s">
        <v>1043</v>
      </c>
      <c r="G90">
        <v>89</v>
      </c>
      <c r="H90" s="55" t="s">
        <v>1508</v>
      </c>
      <c r="I90">
        <v>89</v>
      </c>
      <c r="J90" s="55" t="s">
        <v>1273</v>
      </c>
    </row>
    <row r="91" spans="1:10" x14ac:dyDescent="0.3">
      <c r="A91">
        <v>90</v>
      </c>
      <c r="B91" s="55" t="s">
        <v>929</v>
      </c>
      <c r="C91">
        <v>90</v>
      </c>
      <c r="D91" s="55" t="s">
        <v>1159</v>
      </c>
      <c r="E91">
        <v>90</v>
      </c>
      <c r="F91" s="55" t="s">
        <v>1044</v>
      </c>
      <c r="G91">
        <v>90</v>
      </c>
      <c r="H91" s="55" t="s">
        <v>1509</v>
      </c>
      <c r="I91">
        <v>90</v>
      </c>
      <c r="J91" s="55" t="s">
        <v>1274</v>
      </c>
    </row>
    <row r="92" spans="1:10" x14ac:dyDescent="0.3">
      <c r="A92">
        <v>91</v>
      </c>
      <c r="B92" s="55" t="s">
        <v>930</v>
      </c>
      <c r="C92">
        <v>91</v>
      </c>
      <c r="D92" s="55" t="s">
        <v>1160</v>
      </c>
      <c r="E92">
        <v>91</v>
      </c>
      <c r="F92" s="55" t="s">
        <v>1045</v>
      </c>
      <c r="G92">
        <v>91</v>
      </c>
      <c r="H92" s="55" t="s">
        <v>1510</v>
      </c>
      <c r="I92">
        <v>91</v>
      </c>
      <c r="J92" s="55" t="s">
        <v>1275</v>
      </c>
    </row>
    <row r="93" spans="1:10" x14ac:dyDescent="0.3">
      <c r="A93">
        <v>92</v>
      </c>
      <c r="B93" s="55" t="s">
        <v>931</v>
      </c>
      <c r="C93">
        <v>92</v>
      </c>
      <c r="D93" s="55" t="s">
        <v>1161</v>
      </c>
      <c r="E93">
        <v>92</v>
      </c>
      <c r="F93" s="55" t="s">
        <v>1046</v>
      </c>
      <c r="G93">
        <v>92</v>
      </c>
      <c r="H93" s="55" t="s">
        <v>1511</v>
      </c>
      <c r="I93">
        <v>92</v>
      </c>
      <c r="J93" s="55" t="s">
        <v>1276</v>
      </c>
    </row>
    <row r="94" spans="1:10" x14ac:dyDescent="0.3">
      <c r="A94">
        <v>93</v>
      </c>
      <c r="B94" s="55" t="s">
        <v>932</v>
      </c>
      <c r="C94">
        <v>93</v>
      </c>
      <c r="D94" s="55" t="s">
        <v>1162</v>
      </c>
      <c r="E94">
        <v>93</v>
      </c>
      <c r="F94" s="55" t="s">
        <v>1047</v>
      </c>
      <c r="G94">
        <v>93</v>
      </c>
      <c r="H94" s="55" t="s">
        <v>1512</v>
      </c>
      <c r="I94">
        <v>93</v>
      </c>
      <c r="J94" s="55" t="s">
        <v>1277</v>
      </c>
    </row>
    <row r="95" spans="1:10" x14ac:dyDescent="0.3">
      <c r="A95">
        <v>94</v>
      </c>
      <c r="B95" s="55" t="s">
        <v>933</v>
      </c>
      <c r="C95">
        <v>94</v>
      </c>
      <c r="D95" s="55" t="s">
        <v>1163</v>
      </c>
      <c r="E95">
        <v>94</v>
      </c>
      <c r="F95" s="55" t="s">
        <v>1048</v>
      </c>
      <c r="G95">
        <v>94</v>
      </c>
      <c r="H95" s="55" t="s">
        <v>1513</v>
      </c>
      <c r="I95">
        <v>94</v>
      </c>
      <c r="J95" s="55" t="s">
        <v>1278</v>
      </c>
    </row>
    <row r="96" spans="1:10" x14ac:dyDescent="0.3">
      <c r="A96">
        <v>95</v>
      </c>
      <c r="B96" s="55" t="s">
        <v>934</v>
      </c>
      <c r="C96">
        <v>95</v>
      </c>
      <c r="D96" s="55" t="s">
        <v>1164</v>
      </c>
      <c r="E96">
        <v>95</v>
      </c>
      <c r="F96" s="55" t="s">
        <v>1049</v>
      </c>
      <c r="G96">
        <v>95</v>
      </c>
      <c r="H96" s="55" t="s">
        <v>1514</v>
      </c>
      <c r="I96">
        <v>95</v>
      </c>
      <c r="J96" s="55" t="s">
        <v>1279</v>
      </c>
    </row>
    <row r="97" spans="1:10" x14ac:dyDescent="0.3">
      <c r="A97">
        <v>96</v>
      </c>
      <c r="B97" s="55" t="s">
        <v>935</v>
      </c>
      <c r="C97">
        <v>96</v>
      </c>
      <c r="D97" s="55" t="s">
        <v>1165</v>
      </c>
      <c r="E97">
        <v>96</v>
      </c>
      <c r="F97" s="55" t="s">
        <v>1050</v>
      </c>
      <c r="G97">
        <v>96</v>
      </c>
      <c r="H97" s="55" t="s">
        <v>1515</v>
      </c>
      <c r="I97">
        <v>96</v>
      </c>
      <c r="J97" s="55" t="s">
        <v>1280</v>
      </c>
    </row>
    <row r="98" spans="1:10" x14ac:dyDescent="0.3">
      <c r="A98">
        <v>97</v>
      </c>
      <c r="B98" s="55" t="s">
        <v>936</v>
      </c>
      <c r="C98">
        <v>97</v>
      </c>
      <c r="D98" s="55" t="s">
        <v>1166</v>
      </c>
      <c r="E98">
        <v>97</v>
      </c>
      <c r="F98" s="55" t="s">
        <v>1051</v>
      </c>
      <c r="G98">
        <v>97</v>
      </c>
      <c r="H98" s="55" t="s">
        <v>1516</v>
      </c>
      <c r="I98">
        <v>97</v>
      </c>
      <c r="J98" s="55" t="s">
        <v>1281</v>
      </c>
    </row>
    <row r="99" spans="1:10" x14ac:dyDescent="0.3">
      <c r="A99">
        <v>98</v>
      </c>
      <c r="B99" s="55" t="s">
        <v>937</v>
      </c>
      <c r="C99">
        <v>98</v>
      </c>
      <c r="D99" s="55" t="s">
        <v>1167</v>
      </c>
      <c r="E99">
        <v>98</v>
      </c>
      <c r="F99" s="55" t="s">
        <v>1052</v>
      </c>
      <c r="G99">
        <v>98</v>
      </c>
      <c r="H99" s="55" t="s">
        <v>1517</v>
      </c>
      <c r="I99">
        <v>98</v>
      </c>
      <c r="J99" s="55" t="s">
        <v>1282</v>
      </c>
    </row>
    <row r="100" spans="1:10" x14ac:dyDescent="0.3">
      <c r="A100">
        <v>99</v>
      </c>
      <c r="B100" s="55" t="s">
        <v>938</v>
      </c>
      <c r="C100">
        <v>99</v>
      </c>
      <c r="D100" s="55" t="s">
        <v>1168</v>
      </c>
      <c r="E100">
        <v>99</v>
      </c>
      <c r="F100" s="55" t="s">
        <v>1053</v>
      </c>
      <c r="G100">
        <v>99</v>
      </c>
      <c r="H100" s="55" t="s">
        <v>1518</v>
      </c>
      <c r="I100">
        <v>99</v>
      </c>
      <c r="J100" s="55" t="s">
        <v>1283</v>
      </c>
    </row>
    <row r="101" spans="1:10" x14ac:dyDescent="0.3">
      <c r="A101">
        <v>100</v>
      </c>
      <c r="B101" s="55" t="s">
        <v>939</v>
      </c>
      <c r="C101">
        <v>100</v>
      </c>
      <c r="D101" s="55" t="s">
        <v>1169</v>
      </c>
      <c r="E101">
        <v>100</v>
      </c>
      <c r="F101" s="55" t="s">
        <v>1054</v>
      </c>
      <c r="G101">
        <v>100</v>
      </c>
      <c r="H101" s="55" t="s">
        <v>1519</v>
      </c>
      <c r="I101">
        <v>100</v>
      </c>
      <c r="J101" s="55" t="s">
        <v>1284</v>
      </c>
    </row>
    <row r="102" spans="1:10" x14ac:dyDescent="0.3">
      <c r="A102">
        <v>101</v>
      </c>
      <c r="B102" s="55" t="s">
        <v>940</v>
      </c>
      <c r="C102">
        <v>101</v>
      </c>
      <c r="D102" s="55" t="s">
        <v>1170</v>
      </c>
      <c r="E102">
        <v>101</v>
      </c>
      <c r="F102" s="55" t="s">
        <v>1055</v>
      </c>
      <c r="G102">
        <v>101</v>
      </c>
      <c r="H102" s="55" t="s">
        <v>1520</v>
      </c>
      <c r="I102">
        <v>101</v>
      </c>
      <c r="J102" s="55" t="s">
        <v>1285</v>
      </c>
    </row>
    <row r="103" spans="1:10" x14ac:dyDescent="0.3">
      <c r="A103">
        <v>102</v>
      </c>
      <c r="B103" s="55" t="s">
        <v>941</v>
      </c>
      <c r="C103">
        <v>102</v>
      </c>
      <c r="D103" s="55" t="s">
        <v>1171</v>
      </c>
      <c r="E103">
        <v>102</v>
      </c>
      <c r="F103" s="55" t="s">
        <v>1056</v>
      </c>
      <c r="G103">
        <v>102</v>
      </c>
      <c r="H103" s="55" t="s">
        <v>1521</v>
      </c>
      <c r="I103">
        <v>102</v>
      </c>
      <c r="J103" s="55" t="s">
        <v>1286</v>
      </c>
    </row>
    <row r="104" spans="1:10" x14ac:dyDescent="0.3">
      <c r="A104">
        <v>103</v>
      </c>
      <c r="B104" s="55" t="s">
        <v>942</v>
      </c>
      <c r="C104">
        <v>103</v>
      </c>
      <c r="D104" s="55" t="s">
        <v>1172</v>
      </c>
      <c r="E104">
        <v>103</v>
      </c>
      <c r="F104" s="55" t="s">
        <v>1057</v>
      </c>
      <c r="G104">
        <v>103</v>
      </c>
      <c r="H104" s="55" t="s">
        <v>1522</v>
      </c>
      <c r="I104">
        <v>103</v>
      </c>
      <c r="J104" s="55" t="s">
        <v>1287</v>
      </c>
    </row>
    <row r="105" spans="1:10" x14ac:dyDescent="0.3">
      <c r="A105">
        <v>104</v>
      </c>
      <c r="B105" s="55" t="s">
        <v>943</v>
      </c>
      <c r="C105">
        <v>104</v>
      </c>
      <c r="D105" s="55" t="s">
        <v>1173</v>
      </c>
      <c r="E105">
        <v>104</v>
      </c>
      <c r="F105" s="55" t="s">
        <v>1058</v>
      </c>
      <c r="G105">
        <v>104</v>
      </c>
      <c r="H105" s="55" t="s">
        <v>1523</v>
      </c>
      <c r="I105">
        <v>104</v>
      </c>
      <c r="J105" s="55" t="s">
        <v>1288</v>
      </c>
    </row>
    <row r="106" spans="1:10" x14ac:dyDescent="0.3">
      <c r="A106">
        <v>105</v>
      </c>
      <c r="B106" s="55" t="s">
        <v>944</v>
      </c>
      <c r="C106">
        <v>105</v>
      </c>
      <c r="D106" s="55" t="s">
        <v>1174</v>
      </c>
      <c r="E106">
        <v>105</v>
      </c>
      <c r="F106" s="55" t="s">
        <v>1059</v>
      </c>
      <c r="G106">
        <v>105</v>
      </c>
      <c r="H106" s="55" t="s">
        <v>1524</v>
      </c>
      <c r="I106">
        <v>105</v>
      </c>
      <c r="J106" s="55" t="s">
        <v>1289</v>
      </c>
    </row>
    <row r="107" spans="1:10" x14ac:dyDescent="0.3">
      <c r="A107">
        <v>106</v>
      </c>
      <c r="B107" s="55" t="s">
        <v>945</v>
      </c>
      <c r="C107">
        <v>106</v>
      </c>
      <c r="D107" s="55" t="s">
        <v>1175</v>
      </c>
      <c r="E107">
        <v>106</v>
      </c>
      <c r="F107" s="55" t="s">
        <v>1060</v>
      </c>
      <c r="G107">
        <v>106</v>
      </c>
      <c r="H107" s="55" t="s">
        <v>1525</v>
      </c>
      <c r="I107">
        <v>106</v>
      </c>
      <c r="J107" s="55" t="s">
        <v>1290</v>
      </c>
    </row>
    <row r="108" spans="1:10" x14ac:dyDescent="0.3">
      <c r="A108">
        <v>107</v>
      </c>
      <c r="B108" s="55" t="s">
        <v>946</v>
      </c>
      <c r="C108">
        <v>107</v>
      </c>
      <c r="D108" s="55" t="s">
        <v>1176</v>
      </c>
      <c r="E108">
        <v>107</v>
      </c>
      <c r="F108" s="55" t="s">
        <v>1061</v>
      </c>
      <c r="G108">
        <v>107</v>
      </c>
      <c r="H108" s="55" t="s">
        <v>1526</v>
      </c>
      <c r="I108">
        <v>107</v>
      </c>
      <c r="J108" s="55" t="s">
        <v>1291</v>
      </c>
    </row>
    <row r="109" spans="1:10" x14ac:dyDescent="0.3">
      <c r="A109">
        <v>108</v>
      </c>
      <c r="B109" s="55" t="s">
        <v>947</v>
      </c>
      <c r="C109">
        <v>108</v>
      </c>
      <c r="D109" s="55" t="s">
        <v>1177</v>
      </c>
      <c r="E109">
        <v>108</v>
      </c>
      <c r="F109" s="55" t="s">
        <v>1062</v>
      </c>
      <c r="G109">
        <v>108</v>
      </c>
      <c r="H109" s="55" t="s">
        <v>1527</v>
      </c>
      <c r="I109">
        <v>108</v>
      </c>
      <c r="J109" s="55" t="s">
        <v>1292</v>
      </c>
    </row>
    <row r="110" spans="1:10" x14ac:dyDescent="0.3">
      <c r="A110">
        <v>109</v>
      </c>
      <c r="B110" s="55" t="s">
        <v>948</v>
      </c>
      <c r="C110">
        <v>109</v>
      </c>
      <c r="D110" s="55" t="s">
        <v>1178</v>
      </c>
      <c r="E110">
        <v>109</v>
      </c>
      <c r="F110" s="55" t="s">
        <v>1063</v>
      </c>
      <c r="G110">
        <v>109</v>
      </c>
      <c r="H110" s="55" t="s">
        <v>1528</v>
      </c>
      <c r="I110">
        <v>109</v>
      </c>
      <c r="J110" s="55" t="s">
        <v>1293</v>
      </c>
    </row>
    <row r="111" spans="1:10" x14ac:dyDescent="0.3">
      <c r="A111">
        <v>110</v>
      </c>
      <c r="B111" s="55" t="s">
        <v>949</v>
      </c>
      <c r="C111">
        <v>110</v>
      </c>
      <c r="D111" s="55" t="s">
        <v>1179</v>
      </c>
      <c r="E111">
        <v>110</v>
      </c>
      <c r="F111" s="55" t="s">
        <v>1064</v>
      </c>
      <c r="G111">
        <v>110</v>
      </c>
      <c r="H111" s="55" t="s">
        <v>1529</v>
      </c>
      <c r="I111">
        <v>110</v>
      </c>
      <c r="J111" s="55" t="s">
        <v>1294</v>
      </c>
    </row>
    <row r="112" spans="1:10" x14ac:dyDescent="0.3">
      <c r="A112">
        <v>111</v>
      </c>
      <c r="B112" s="55" t="s">
        <v>950</v>
      </c>
      <c r="C112">
        <v>111</v>
      </c>
      <c r="D112" s="55" t="s">
        <v>1180</v>
      </c>
      <c r="E112">
        <v>111</v>
      </c>
      <c r="F112" s="55" t="s">
        <v>1065</v>
      </c>
      <c r="G112">
        <v>111</v>
      </c>
      <c r="H112" s="55" t="s">
        <v>1530</v>
      </c>
      <c r="I112">
        <v>111</v>
      </c>
      <c r="J112" s="55" t="s">
        <v>1295</v>
      </c>
    </row>
    <row r="113" spans="1:10" x14ac:dyDescent="0.3">
      <c r="A113">
        <v>112</v>
      </c>
      <c r="B113" s="55" t="s">
        <v>951</v>
      </c>
      <c r="C113">
        <v>112</v>
      </c>
      <c r="D113" s="55" t="s">
        <v>1181</v>
      </c>
      <c r="E113">
        <v>112</v>
      </c>
      <c r="F113" s="55" t="s">
        <v>1066</v>
      </c>
      <c r="G113">
        <v>112</v>
      </c>
      <c r="H113" s="55" t="s">
        <v>1531</v>
      </c>
      <c r="I113">
        <v>112</v>
      </c>
      <c r="J113" s="55" t="s">
        <v>1296</v>
      </c>
    </row>
    <row r="114" spans="1:10" x14ac:dyDescent="0.3">
      <c r="A114">
        <v>113</v>
      </c>
      <c r="B114" s="55" t="s">
        <v>952</v>
      </c>
      <c r="C114">
        <v>113</v>
      </c>
      <c r="D114" s="55" t="s">
        <v>1182</v>
      </c>
      <c r="E114">
        <v>113</v>
      </c>
      <c r="F114" s="55" t="s">
        <v>1067</v>
      </c>
      <c r="G114">
        <v>113</v>
      </c>
      <c r="H114" s="55" t="s">
        <v>1532</v>
      </c>
      <c r="I114">
        <v>113</v>
      </c>
      <c r="J114" s="55" t="s">
        <v>1297</v>
      </c>
    </row>
    <row r="115" spans="1:10" x14ac:dyDescent="0.3">
      <c r="A115">
        <v>114</v>
      </c>
      <c r="B115" s="55" t="s">
        <v>953</v>
      </c>
      <c r="C115">
        <v>114</v>
      </c>
      <c r="D115" s="55" t="s">
        <v>1183</v>
      </c>
      <c r="E115">
        <v>114</v>
      </c>
      <c r="F115" s="55" t="s">
        <v>1068</v>
      </c>
      <c r="G115">
        <v>114</v>
      </c>
      <c r="H115" s="55" t="s">
        <v>1533</v>
      </c>
      <c r="I115">
        <v>114</v>
      </c>
      <c r="J115" s="55" t="s">
        <v>1298</v>
      </c>
    </row>
    <row r="116" spans="1:10" x14ac:dyDescent="0.3">
      <c r="A116">
        <v>115</v>
      </c>
      <c r="B116" s="55" t="s">
        <v>954</v>
      </c>
      <c r="C116">
        <v>115</v>
      </c>
      <c r="D116" s="55" t="s">
        <v>1184</v>
      </c>
      <c r="E116">
        <v>115</v>
      </c>
      <c r="F116" s="55" t="s">
        <v>1069</v>
      </c>
      <c r="G116">
        <v>115</v>
      </c>
      <c r="H116" s="55" t="s">
        <v>1534</v>
      </c>
      <c r="I116">
        <v>115</v>
      </c>
      <c r="J116" s="55" t="s">
        <v>1299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3"/>
  <sheetViews>
    <sheetView workbookViewId="0"/>
  </sheetViews>
  <sheetFormatPr defaultRowHeight="14.4" x14ac:dyDescent="0.3"/>
  <sheetData>
    <row r="3" spans="3:3" x14ac:dyDescent="0.3">
      <c r="C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28"/>
  <sheetViews>
    <sheetView workbookViewId="0"/>
  </sheetViews>
  <sheetFormatPr defaultColWidth="30.6640625" defaultRowHeight="14.4" x14ac:dyDescent="0.3"/>
  <cols>
    <col min="1" max="1" width="30.6640625" style="3"/>
    <col min="2" max="16384" width="30.6640625" style="2"/>
  </cols>
  <sheetData>
    <row r="1" spans="1:20" x14ac:dyDescent="0.3">
      <c r="A1" s="3" t="s">
        <v>91</v>
      </c>
      <c r="B1" s="2" t="s">
        <v>92</v>
      </c>
      <c r="C1" s="2" t="s">
        <v>93</v>
      </c>
      <c r="D1" s="2">
        <v>5</v>
      </c>
      <c r="E1" s="2" t="s">
        <v>94</v>
      </c>
      <c r="F1" s="2">
        <v>7</v>
      </c>
      <c r="G1" s="2" t="s">
        <v>95</v>
      </c>
      <c r="H1" s="2">
        <v>1</v>
      </c>
      <c r="I1" s="2" t="s">
        <v>96</v>
      </c>
      <c r="J1" s="2">
        <v>1</v>
      </c>
      <c r="K1" s="2" t="s">
        <v>97</v>
      </c>
      <c r="L1" s="2">
        <v>0</v>
      </c>
      <c r="M1" s="2" t="s">
        <v>98</v>
      </c>
      <c r="N1" s="2">
        <v>0</v>
      </c>
      <c r="O1" s="2" t="s">
        <v>99</v>
      </c>
      <c r="P1" s="2">
        <v>1</v>
      </c>
      <c r="Q1" s="2" t="s">
        <v>100</v>
      </c>
      <c r="R1" s="2">
        <v>0</v>
      </c>
      <c r="S1" s="2" t="s">
        <v>101</v>
      </c>
      <c r="T1" s="2">
        <v>0</v>
      </c>
    </row>
    <row r="2" spans="1:20" x14ac:dyDescent="0.3">
      <c r="A2" s="3" t="s">
        <v>102</v>
      </c>
      <c r="B2" s="2" t="s">
        <v>103</v>
      </c>
    </row>
    <row r="3" spans="1:20" x14ac:dyDescent="0.3">
      <c r="A3" s="3" t="s">
        <v>104</v>
      </c>
      <c r="B3" s="2" t="b">
        <f>IF(B10&gt;256,"TripUpST110AndEarlier",FALSE)</f>
        <v>0</v>
      </c>
    </row>
    <row r="4" spans="1:20" x14ac:dyDescent="0.3">
      <c r="A4" s="3" t="s">
        <v>105</v>
      </c>
      <c r="B4" s="2" t="s">
        <v>106</v>
      </c>
    </row>
    <row r="5" spans="1:20" x14ac:dyDescent="0.3">
      <c r="A5" s="3" t="s">
        <v>107</v>
      </c>
      <c r="B5" s="2" t="b">
        <v>1</v>
      </c>
    </row>
    <row r="6" spans="1:20" x14ac:dyDescent="0.3">
      <c r="A6" s="3" t="s">
        <v>108</v>
      </c>
      <c r="B6" s="2" t="b">
        <v>1</v>
      </c>
    </row>
    <row r="7" spans="1:20" x14ac:dyDescent="0.3">
      <c r="A7" s="3" t="s">
        <v>109</v>
      </c>
      <c r="B7" s="2" t="e">
        <f>#REF!</f>
        <v>#REF!</v>
      </c>
    </row>
    <row r="8" spans="1:20" x14ac:dyDescent="0.3">
      <c r="A8" s="3" t="s">
        <v>110</v>
      </c>
      <c r="B8" s="2">
        <v>1</v>
      </c>
    </row>
    <row r="9" spans="1:20" x14ac:dyDescent="0.3">
      <c r="A9" s="3" t="s">
        <v>111</v>
      </c>
      <c r="B9" s="2">
        <f>1</f>
        <v>1</v>
      </c>
    </row>
    <row r="10" spans="1:20" x14ac:dyDescent="0.3">
      <c r="A10" s="3" t="s">
        <v>112</v>
      </c>
      <c r="B10" s="2">
        <v>39</v>
      </c>
    </row>
    <row r="12" spans="1:20" x14ac:dyDescent="0.3">
      <c r="A12" s="3" t="s">
        <v>113</v>
      </c>
      <c r="B12" s="2" t="s">
        <v>114</v>
      </c>
      <c r="C12" s="2" t="s">
        <v>115</v>
      </c>
      <c r="D12" s="2" t="s">
        <v>116</v>
      </c>
      <c r="E12" s="2" t="b">
        <v>1</v>
      </c>
      <c r="F12" s="2">
        <v>0</v>
      </c>
      <c r="G12" s="2">
        <v>4</v>
      </c>
    </row>
    <row r="13" spans="1:20" x14ac:dyDescent="0.3">
      <c r="A13" s="3" t="s">
        <v>117</v>
      </c>
      <c r="B13" s="2" t="e">
        <f>#REF!</f>
        <v>#REF!</v>
      </c>
    </row>
    <row r="14" spans="1:20" x14ac:dyDescent="0.3">
      <c r="A14" s="3" t="s">
        <v>118</v>
      </c>
    </row>
    <row r="15" spans="1:20" x14ac:dyDescent="0.3">
      <c r="A15" s="3" t="s">
        <v>119</v>
      </c>
      <c r="B15" s="2" t="s">
        <v>120</v>
      </c>
      <c r="C15" s="2" t="s">
        <v>121</v>
      </c>
      <c r="D15" s="2" t="s">
        <v>122</v>
      </c>
      <c r="E15" s="2" t="b">
        <v>1</v>
      </c>
      <c r="F15" s="2">
        <v>0</v>
      </c>
      <c r="G15" s="2">
        <v>4</v>
      </c>
    </row>
    <row r="16" spans="1:20" x14ac:dyDescent="0.3">
      <c r="A16" s="3" t="s">
        <v>123</v>
      </c>
      <c r="B16" s="4" t="e">
        <f>#REF!</f>
        <v>#REF!</v>
      </c>
    </row>
    <row r="17" spans="1:7" x14ac:dyDescent="0.3">
      <c r="A17" s="3" t="s">
        <v>124</v>
      </c>
    </row>
    <row r="18" spans="1:7" x14ac:dyDescent="0.3">
      <c r="A18" s="3" t="s">
        <v>125</v>
      </c>
      <c r="B18" s="2" t="s">
        <v>126</v>
      </c>
      <c r="C18" s="2" t="s">
        <v>127</v>
      </c>
      <c r="D18" s="2" t="s">
        <v>128</v>
      </c>
      <c r="E18" s="2" t="b">
        <v>1</v>
      </c>
      <c r="F18" s="2">
        <v>0</v>
      </c>
      <c r="G18" s="2">
        <v>4</v>
      </c>
    </row>
    <row r="19" spans="1:7" x14ac:dyDescent="0.3">
      <c r="A19" s="3" t="s">
        <v>129</v>
      </c>
      <c r="B19" s="4" t="e">
        <f>#REF!</f>
        <v>#REF!</v>
      </c>
    </row>
    <row r="20" spans="1:7" x14ac:dyDescent="0.3">
      <c r="A20" s="3" t="s">
        <v>130</v>
      </c>
    </row>
    <row r="21" spans="1:7" x14ac:dyDescent="0.3">
      <c r="A21" s="3" t="s">
        <v>131</v>
      </c>
      <c r="B21" s="2" t="s">
        <v>132</v>
      </c>
      <c r="C21" s="2" t="s">
        <v>133</v>
      </c>
      <c r="D21" s="2" t="s">
        <v>134</v>
      </c>
      <c r="E21" s="2" t="b">
        <v>1</v>
      </c>
      <c r="F21" s="2">
        <v>0</v>
      </c>
      <c r="G21" s="2">
        <v>4</v>
      </c>
    </row>
    <row r="22" spans="1:7" x14ac:dyDescent="0.3">
      <c r="A22" s="3" t="s">
        <v>135</v>
      </c>
      <c r="B22" s="4" t="e">
        <f>#REF!</f>
        <v>#REF!</v>
      </c>
    </row>
    <row r="23" spans="1:7" x14ac:dyDescent="0.3">
      <c r="A23" s="3" t="s">
        <v>136</v>
      </c>
    </row>
    <row r="24" spans="1:7" x14ac:dyDescent="0.3">
      <c r="A24" s="3" t="s">
        <v>137</v>
      </c>
      <c r="B24" s="2" t="s">
        <v>138</v>
      </c>
      <c r="C24" s="2" t="s">
        <v>139</v>
      </c>
      <c r="D24" s="2" t="s">
        <v>140</v>
      </c>
      <c r="E24" s="2" t="b">
        <v>1</v>
      </c>
      <c r="F24" s="2">
        <v>0</v>
      </c>
      <c r="G24" s="2">
        <v>4</v>
      </c>
    </row>
    <row r="25" spans="1:7" x14ac:dyDescent="0.3">
      <c r="A25" s="3" t="s">
        <v>141</v>
      </c>
      <c r="B25" s="4" t="e">
        <f>#REF!</f>
        <v>#REF!</v>
      </c>
    </row>
    <row r="26" spans="1:7" x14ac:dyDescent="0.3">
      <c r="A26" s="3" t="s">
        <v>142</v>
      </c>
    </row>
    <row r="27" spans="1:7" x14ac:dyDescent="0.3">
      <c r="A27" s="3" t="s">
        <v>143</v>
      </c>
      <c r="B27" s="2" t="s">
        <v>144</v>
      </c>
      <c r="C27" s="2" t="s">
        <v>145</v>
      </c>
      <c r="D27" s="2" t="s">
        <v>146</v>
      </c>
      <c r="E27" s="2" t="b">
        <v>1</v>
      </c>
      <c r="F27" s="2">
        <v>0</v>
      </c>
      <c r="G27" s="2">
        <v>4</v>
      </c>
    </row>
    <row r="28" spans="1:7" x14ac:dyDescent="0.3">
      <c r="A28" s="3" t="s">
        <v>147</v>
      </c>
      <c r="B28" s="4" t="e">
        <f>#REF!</f>
        <v>#REF!</v>
      </c>
    </row>
    <row r="29" spans="1:7" x14ac:dyDescent="0.3">
      <c r="A29" s="3" t="s">
        <v>148</v>
      </c>
    </row>
    <row r="30" spans="1:7" x14ac:dyDescent="0.3">
      <c r="A30" s="3" t="s">
        <v>149</v>
      </c>
      <c r="B30" s="2" t="s">
        <v>150</v>
      </c>
      <c r="C30" s="2" t="s">
        <v>151</v>
      </c>
      <c r="D30" s="2" t="s">
        <v>152</v>
      </c>
      <c r="E30" s="2" t="b">
        <v>1</v>
      </c>
      <c r="F30" s="2">
        <v>0</v>
      </c>
      <c r="G30" s="2">
        <v>4</v>
      </c>
    </row>
    <row r="31" spans="1:7" x14ac:dyDescent="0.3">
      <c r="A31" s="3" t="s">
        <v>153</v>
      </c>
      <c r="B31" s="4" t="e">
        <f>#REF!</f>
        <v>#REF!</v>
      </c>
    </row>
    <row r="32" spans="1:7" x14ac:dyDescent="0.3">
      <c r="A32" s="3" t="s">
        <v>154</v>
      </c>
    </row>
    <row r="33" spans="1:7" x14ac:dyDescent="0.3">
      <c r="A33" s="3" t="s">
        <v>155</v>
      </c>
      <c r="B33" s="2" t="s">
        <v>156</v>
      </c>
      <c r="C33" s="2" t="s">
        <v>157</v>
      </c>
      <c r="D33" s="2" t="s">
        <v>158</v>
      </c>
      <c r="E33" s="2" t="b">
        <v>1</v>
      </c>
      <c r="F33" s="2">
        <v>0</v>
      </c>
      <c r="G33" s="2">
        <v>4</v>
      </c>
    </row>
    <row r="34" spans="1:7" x14ac:dyDescent="0.3">
      <c r="A34" s="3" t="s">
        <v>159</v>
      </c>
      <c r="B34" s="4" t="e">
        <f>#REF!</f>
        <v>#REF!</v>
      </c>
    </row>
    <row r="35" spans="1:7" x14ac:dyDescent="0.3">
      <c r="A35" s="3" t="s">
        <v>160</v>
      </c>
    </row>
    <row r="36" spans="1:7" x14ac:dyDescent="0.3">
      <c r="A36" s="3" t="s">
        <v>161</v>
      </c>
      <c r="B36" s="2" t="s">
        <v>162</v>
      </c>
      <c r="C36" s="2" t="s">
        <v>163</v>
      </c>
      <c r="D36" s="2" t="s">
        <v>164</v>
      </c>
      <c r="E36" s="2" t="b">
        <v>1</v>
      </c>
      <c r="F36" s="2">
        <v>0</v>
      </c>
      <c r="G36" s="2">
        <v>4</v>
      </c>
    </row>
    <row r="37" spans="1:7" x14ac:dyDescent="0.3">
      <c r="A37" s="3" t="s">
        <v>165</v>
      </c>
      <c r="B37" s="4" t="e">
        <f>#REF!</f>
        <v>#REF!</v>
      </c>
    </row>
    <row r="38" spans="1:7" x14ac:dyDescent="0.3">
      <c r="A38" s="3" t="s">
        <v>166</v>
      </c>
    </row>
    <row r="39" spans="1:7" x14ac:dyDescent="0.3">
      <c r="A39" s="3" t="s">
        <v>167</v>
      </c>
      <c r="B39" s="2" t="s">
        <v>168</v>
      </c>
      <c r="C39" s="2" t="s">
        <v>169</v>
      </c>
      <c r="D39" s="2" t="s">
        <v>170</v>
      </c>
      <c r="E39" s="2" t="b">
        <v>1</v>
      </c>
      <c r="F39" s="2">
        <v>0</v>
      </c>
      <c r="G39" s="2">
        <v>4</v>
      </c>
    </row>
    <row r="40" spans="1:7" x14ac:dyDescent="0.3">
      <c r="A40" s="3" t="s">
        <v>171</v>
      </c>
      <c r="B40" s="4" t="e">
        <f>#REF!</f>
        <v>#REF!</v>
      </c>
    </row>
    <row r="41" spans="1:7" x14ac:dyDescent="0.3">
      <c r="A41" s="3" t="s">
        <v>172</v>
      </c>
    </row>
    <row r="42" spans="1:7" x14ac:dyDescent="0.3">
      <c r="A42" s="3" t="s">
        <v>173</v>
      </c>
      <c r="B42" s="2" t="s">
        <v>174</v>
      </c>
      <c r="C42" s="2" t="s">
        <v>175</v>
      </c>
      <c r="D42" s="2" t="s">
        <v>176</v>
      </c>
      <c r="E42" s="2" t="b">
        <v>1</v>
      </c>
      <c r="F42" s="2">
        <v>0</v>
      </c>
      <c r="G42" s="2">
        <v>4</v>
      </c>
    </row>
    <row r="43" spans="1:7" x14ac:dyDescent="0.3">
      <c r="A43" s="3" t="s">
        <v>177</v>
      </c>
      <c r="B43" s="4" t="e">
        <f>#REF!</f>
        <v>#REF!</v>
      </c>
    </row>
    <row r="44" spans="1:7" x14ac:dyDescent="0.3">
      <c r="A44" s="3" t="s">
        <v>178</v>
      </c>
    </row>
    <row r="45" spans="1:7" x14ac:dyDescent="0.3">
      <c r="A45" s="3" t="s">
        <v>179</v>
      </c>
      <c r="B45" s="2" t="s">
        <v>180</v>
      </c>
      <c r="C45" s="2" t="s">
        <v>181</v>
      </c>
      <c r="D45" s="2" t="s">
        <v>182</v>
      </c>
      <c r="E45" s="2" t="b">
        <v>1</v>
      </c>
      <c r="F45" s="2">
        <v>0</v>
      </c>
      <c r="G45" s="2">
        <v>4</v>
      </c>
    </row>
    <row r="46" spans="1:7" x14ac:dyDescent="0.3">
      <c r="A46" s="3" t="s">
        <v>183</v>
      </c>
      <c r="B46" s="4" t="e">
        <f>#REF!</f>
        <v>#REF!</v>
      </c>
    </row>
    <row r="47" spans="1:7" x14ac:dyDescent="0.3">
      <c r="A47" s="3" t="s">
        <v>184</v>
      </c>
    </row>
    <row r="48" spans="1:7" x14ac:dyDescent="0.3">
      <c r="A48" s="3" t="s">
        <v>185</v>
      </c>
      <c r="B48" s="2" t="s">
        <v>186</v>
      </c>
      <c r="C48" s="2" t="s">
        <v>187</v>
      </c>
      <c r="D48" s="2" t="s">
        <v>188</v>
      </c>
      <c r="E48" s="2" t="b">
        <v>1</v>
      </c>
      <c r="F48" s="2">
        <v>0</v>
      </c>
      <c r="G48" s="2">
        <v>4</v>
      </c>
    </row>
    <row r="49" spans="1:7" x14ac:dyDescent="0.3">
      <c r="A49" s="3" t="s">
        <v>189</v>
      </c>
      <c r="B49" s="4" t="e">
        <f>#REF!</f>
        <v>#REF!</v>
      </c>
    </row>
    <row r="50" spans="1:7" x14ac:dyDescent="0.3">
      <c r="A50" s="3" t="s">
        <v>190</v>
      </c>
    </row>
    <row r="51" spans="1:7" x14ac:dyDescent="0.3">
      <c r="A51" s="3" t="s">
        <v>191</v>
      </c>
      <c r="B51" s="2" t="s">
        <v>192</v>
      </c>
      <c r="C51" s="2" t="s">
        <v>193</v>
      </c>
      <c r="D51" s="2" t="s">
        <v>194</v>
      </c>
      <c r="E51" s="2" t="b">
        <v>1</v>
      </c>
      <c r="F51" s="2">
        <v>0</v>
      </c>
      <c r="G51" s="2">
        <v>4</v>
      </c>
    </row>
    <row r="52" spans="1:7" x14ac:dyDescent="0.3">
      <c r="A52" s="3" t="s">
        <v>195</v>
      </c>
      <c r="B52" s="4" t="e">
        <f>#REF!</f>
        <v>#REF!</v>
      </c>
    </row>
    <row r="53" spans="1:7" x14ac:dyDescent="0.3">
      <c r="A53" s="3" t="s">
        <v>196</v>
      </c>
    </row>
    <row r="54" spans="1:7" x14ac:dyDescent="0.3">
      <c r="A54" s="3" t="s">
        <v>197</v>
      </c>
      <c r="B54" s="2" t="s">
        <v>198</v>
      </c>
      <c r="C54" s="2" t="s">
        <v>199</v>
      </c>
      <c r="D54" s="2" t="s">
        <v>200</v>
      </c>
      <c r="E54" s="2" t="b">
        <v>1</v>
      </c>
      <c r="F54" s="2">
        <v>0</v>
      </c>
      <c r="G54" s="2">
        <v>4</v>
      </c>
    </row>
    <row r="55" spans="1:7" x14ac:dyDescent="0.3">
      <c r="A55" s="3" t="s">
        <v>201</v>
      </c>
      <c r="B55" s="4" t="e">
        <f>#REF!</f>
        <v>#REF!</v>
      </c>
    </row>
    <row r="56" spans="1:7" x14ac:dyDescent="0.3">
      <c r="A56" s="3" t="s">
        <v>202</v>
      </c>
    </row>
    <row r="57" spans="1:7" x14ac:dyDescent="0.3">
      <c r="A57" s="3" t="s">
        <v>203</v>
      </c>
      <c r="B57" s="2" t="s">
        <v>204</v>
      </c>
      <c r="C57" s="2" t="s">
        <v>205</v>
      </c>
      <c r="D57" s="2" t="s">
        <v>206</v>
      </c>
      <c r="E57" s="2" t="b">
        <v>1</v>
      </c>
      <c r="F57" s="2">
        <v>0</v>
      </c>
      <c r="G57" s="2">
        <v>4</v>
      </c>
    </row>
    <row r="58" spans="1:7" x14ac:dyDescent="0.3">
      <c r="A58" s="3" t="s">
        <v>207</v>
      </c>
      <c r="B58" s="4" t="e">
        <f>#REF!</f>
        <v>#REF!</v>
      </c>
    </row>
    <row r="59" spans="1:7" x14ac:dyDescent="0.3">
      <c r="A59" s="3" t="s">
        <v>208</v>
      </c>
    </row>
    <row r="60" spans="1:7" x14ac:dyDescent="0.3">
      <c r="A60" s="3" t="s">
        <v>209</v>
      </c>
      <c r="B60" s="2" t="s">
        <v>210</v>
      </c>
      <c r="C60" s="2" t="s">
        <v>211</v>
      </c>
      <c r="D60" s="2" t="s">
        <v>212</v>
      </c>
      <c r="E60" s="2" t="b">
        <v>1</v>
      </c>
      <c r="F60" s="2">
        <v>0</v>
      </c>
      <c r="G60" s="2">
        <v>4</v>
      </c>
    </row>
    <row r="61" spans="1:7" x14ac:dyDescent="0.3">
      <c r="A61" s="3" t="s">
        <v>213</v>
      </c>
      <c r="B61" s="4" t="e">
        <f>#REF!</f>
        <v>#REF!</v>
      </c>
    </row>
    <row r="62" spans="1:7" x14ac:dyDescent="0.3">
      <c r="A62" s="3" t="s">
        <v>214</v>
      </c>
    </row>
    <row r="63" spans="1:7" x14ac:dyDescent="0.3">
      <c r="A63" s="3" t="s">
        <v>215</v>
      </c>
      <c r="B63" s="2" t="s">
        <v>216</v>
      </c>
      <c r="C63" s="2" t="s">
        <v>217</v>
      </c>
      <c r="D63" s="2" t="s">
        <v>218</v>
      </c>
      <c r="E63" s="2" t="b">
        <v>1</v>
      </c>
      <c r="F63" s="2">
        <v>0</v>
      </c>
      <c r="G63" s="2">
        <v>4</v>
      </c>
    </row>
    <row r="64" spans="1:7" x14ac:dyDescent="0.3">
      <c r="A64" s="3" t="s">
        <v>219</v>
      </c>
      <c r="B64" s="4" t="e">
        <f>#REF!</f>
        <v>#REF!</v>
      </c>
    </row>
    <row r="65" spans="1:7" x14ac:dyDescent="0.3">
      <c r="A65" s="3" t="s">
        <v>220</v>
      </c>
    </row>
    <row r="66" spans="1:7" x14ac:dyDescent="0.3">
      <c r="A66" s="3" t="s">
        <v>221</v>
      </c>
      <c r="B66" s="2" t="s">
        <v>222</v>
      </c>
      <c r="C66" s="2" t="s">
        <v>223</v>
      </c>
      <c r="D66" s="2" t="s">
        <v>224</v>
      </c>
      <c r="E66" s="2" t="b">
        <v>1</v>
      </c>
      <c r="F66" s="2">
        <v>0</v>
      </c>
      <c r="G66" s="2">
        <v>4</v>
      </c>
    </row>
    <row r="67" spans="1:7" x14ac:dyDescent="0.3">
      <c r="A67" s="3" t="s">
        <v>225</v>
      </c>
      <c r="B67" s="4" t="e">
        <f>#REF!</f>
        <v>#REF!</v>
      </c>
    </row>
    <row r="68" spans="1:7" x14ac:dyDescent="0.3">
      <c r="A68" s="3" t="s">
        <v>226</v>
      </c>
    </row>
    <row r="69" spans="1:7" x14ac:dyDescent="0.3">
      <c r="A69" s="3" t="s">
        <v>227</v>
      </c>
      <c r="B69" s="2" t="s">
        <v>228</v>
      </c>
      <c r="C69" s="2" t="s">
        <v>229</v>
      </c>
      <c r="D69" s="2" t="s">
        <v>230</v>
      </c>
      <c r="E69" s="2" t="b">
        <v>1</v>
      </c>
      <c r="F69" s="2">
        <v>0</v>
      </c>
      <c r="G69" s="2">
        <v>4</v>
      </c>
    </row>
    <row r="70" spans="1:7" x14ac:dyDescent="0.3">
      <c r="A70" s="3" t="s">
        <v>231</v>
      </c>
      <c r="B70" s="4" t="e">
        <f>#REF!</f>
        <v>#REF!</v>
      </c>
    </row>
    <row r="71" spans="1:7" x14ac:dyDescent="0.3">
      <c r="A71" s="3" t="s">
        <v>232</v>
      </c>
    </row>
    <row r="72" spans="1:7" x14ac:dyDescent="0.3">
      <c r="A72" s="3" t="s">
        <v>233</v>
      </c>
      <c r="B72" s="2" t="s">
        <v>234</v>
      </c>
      <c r="C72" s="2" t="s">
        <v>235</v>
      </c>
      <c r="D72" s="2" t="s">
        <v>236</v>
      </c>
      <c r="E72" s="2" t="b">
        <v>1</v>
      </c>
      <c r="F72" s="2">
        <v>0</v>
      </c>
      <c r="G72" s="2">
        <v>4</v>
      </c>
    </row>
    <row r="73" spans="1:7" x14ac:dyDescent="0.3">
      <c r="A73" s="3" t="s">
        <v>237</v>
      </c>
      <c r="B73" s="4" t="e">
        <f>#REF!</f>
        <v>#REF!</v>
      </c>
    </row>
    <row r="74" spans="1:7" x14ac:dyDescent="0.3">
      <c r="A74" s="3" t="s">
        <v>238</v>
      </c>
    </row>
    <row r="75" spans="1:7" x14ac:dyDescent="0.3">
      <c r="A75" s="3" t="s">
        <v>239</v>
      </c>
      <c r="B75" s="2" t="s">
        <v>240</v>
      </c>
      <c r="C75" s="2" t="s">
        <v>241</v>
      </c>
      <c r="D75" s="2" t="s">
        <v>242</v>
      </c>
      <c r="E75" s="2" t="b">
        <v>1</v>
      </c>
      <c r="F75" s="2">
        <v>0</v>
      </c>
      <c r="G75" s="2">
        <v>4</v>
      </c>
    </row>
    <row r="76" spans="1:7" x14ac:dyDescent="0.3">
      <c r="A76" s="3" t="s">
        <v>243</v>
      </c>
      <c r="B76" s="4" t="e">
        <f>#REF!</f>
        <v>#REF!</v>
      </c>
    </row>
    <row r="77" spans="1:7" x14ac:dyDescent="0.3">
      <c r="A77" s="3" t="s">
        <v>244</v>
      </c>
    </row>
    <row r="78" spans="1:7" x14ac:dyDescent="0.3">
      <c r="A78" s="3" t="s">
        <v>245</v>
      </c>
      <c r="B78" s="2" t="s">
        <v>246</v>
      </c>
      <c r="C78" s="2" t="s">
        <v>247</v>
      </c>
      <c r="D78" s="2" t="s">
        <v>248</v>
      </c>
      <c r="E78" s="2" t="b">
        <v>1</v>
      </c>
      <c r="F78" s="2">
        <v>0</v>
      </c>
      <c r="G78" s="2">
        <v>4</v>
      </c>
    </row>
    <row r="79" spans="1:7" x14ac:dyDescent="0.3">
      <c r="A79" s="3" t="s">
        <v>249</v>
      </c>
      <c r="B79" s="4" t="e">
        <f>#REF!</f>
        <v>#REF!</v>
      </c>
    </row>
    <row r="80" spans="1:7" x14ac:dyDescent="0.3">
      <c r="A80" s="3" t="s">
        <v>250</v>
      </c>
    </row>
    <row r="81" spans="1:7" x14ac:dyDescent="0.3">
      <c r="A81" s="3" t="s">
        <v>251</v>
      </c>
      <c r="B81" s="2" t="s">
        <v>252</v>
      </c>
      <c r="C81" s="2" t="s">
        <v>253</v>
      </c>
      <c r="D81" s="2" t="s">
        <v>254</v>
      </c>
      <c r="E81" s="2" t="b">
        <v>1</v>
      </c>
      <c r="F81" s="2">
        <v>0</v>
      </c>
      <c r="G81" s="2">
        <v>4</v>
      </c>
    </row>
    <row r="82" spans="1:7" x14ac:dyDescent="0.3">
      <c r="A82" s="3" t="s">
        <v>255</v>
      </c>
      <c r="B82" s="4" t="e">
        <f>#REF!</f>
        <v>#REF!</v>
      </c>
    </row>
    <row r="83" spans="1:7" x14ac:dyDescent="0.3">
      <c r="A83" s="3" t="s">
        <v>256</v>
      </c>
    </row>
    <row r="84" spans="1:7" x14ac:dyDescent="0.3">
      <c r="A84" s="3" t="s">
        <v>257</v>
      </c>
      <c r="B84" s="2" t="s">
        <v>258</v>
      </c>
      <c r="C84" s="2" t="s">
        <v>259</v>
      </c>
      <c r="D84" s="2" t="s">
        <v>260</v>
      </c>
      <c r="E84" s="2" t="b">
        <v>1</v>
      </c>
      <c r="F84" s="2">
        <v>0</v>
      </c>
      <c r="G84" s="2">
        <v>4</v>
      </c>
    </row>
    <row r="85" spans="1:7" x14ac:dyDescent="0.3">
      <c r="A85" s="3" t="s">
        <v>261</v>
      </c>
      <c r="B85" s="4" t="e">
        <f>#REF!</f>
        <v>#REF!</v>
      </c>
    </row>
    <row r="86" spans="1:7" x14ac:dyDescent="0.3">
      <c r="A86" s="3" t="s">
        <v>262</v>
      </c>
    </row>
    <row r="87" spans="1:7" x14ac:dyDescent="0.3">
      <c r="A87" s="3" t="s">
        <v>263</v>
      </c>
      <c r="B87" s="2" t="s">
        <v>264</v>
      </c>
      <c r="C87" s="2" t="s">
        <v>265</v>
      </c>
      <c r="D87" s="2" t="s">
        <v>266</v>
      </c>
      <c r="E87" s="2" t="b">
        <v>1</v>
      </c>
      <c r="F87" s="2">
        <v>0</v>
      </c>
      <c r="G87" s="2">
        <v>4</v>
      </c>
    </row>
    <row r="88" spans="1:7" x14ac:dyDescent="0.3">
      <c r="A88" s="3" t="s">
        <v>267</v>
      </c>
      <c r="B88" s="4" t="e">
        <f>#REF!</f>
        <v>#REF!</v>
      </c>
    </row>
    <row r="89" spans="1:7" x14ac:dyDescent="0.3">
      <c r="A89" s="3" t="s">
        <v>268</v>
      </c>
    </row>
    <row r="90" spans="1:7" x14ac:dyDescent="0.3">
      <c r="A90" s="3" t="s">
        <v>269</v>
      </c>
      <c r="B90" s="2" t="s">
        <v>270</v>
      </c>
      <c r="C90" s="2" t="s">
        <v>271</v>
      </c>
      <c r="D90" s="2" t="s">
        <v>272</v>
      </c>
      <c r="E90" s="2" t="b">
        <v>1</v>
      </c>
      <c r="F90" s="2">
        <v>0</v>
      </c>
      <c r="G90" s="2">
        <v>4</v>
      </c>
    </row>
    <row r="91" spans="1:7" x14ac:dyDescent="0.3">
      <c r="A91" s="3" t="s">
        <v>273</v>
      </c>
      <c r="B91" s="4" t="e">
        <f>#REF!</f>
        <v>#REF!</v>
      </c>
    </row>
    <row r="92" spans="1:7" x14ac:dyDescent="0.3">
      <c r="A92" s="3" t="s">
        <v>274</v>
      </c>
    </row>
    <row r="93" spans="1:7" x14ac:dyDescent="0.3">
      <c r="A93" s="3" t="s">
        <v>275</v>
      </c>
      <c r="B93" s="2" t="s">
        <v>276</v>
      </c>
      <c r="C93" s="2" t="s">
        <v>277</v>
      </c>
      <c r="D93" s="2" t="s">
        <v>278</v>
      </c>
      <c r="E93" s="2" t="b">
        <v>1</v>
      </c>
      <c r="F93" s="2">
        <v>0</v>
      </c>
      <c r="G93" s="2">
        <v>4</v>
      </c>
    </row>
    <row r="94" spans="1:7" x14ac:dyDescent="0.3">
      <c r="A94" s="3" t="s">
        <v>279</v>
      </c>
      <c r="B94" s="4" t="e">
        <f>#REF!</f>
        <v>#REF!</v>
      </c>
    </row>
    <row r="95" spans="1:7" x14ac:dyDescent="0.3">
      <c r="A95" s="3" t="s">
        <v>280</v>
      </c>
    </row>
    <row r="96" spans="1:7" x14ac:dyDescent="0.3">
      <c r="A96" s="3" t="s">
        <v>281</v>
      </c>
      <c r="B96" s="2" t="s">
        <v>282</v>
      </c>
      <c r="C96" s="2" t="s">
        <v>283</v>
      </c>
      <c r="D96" s="2" t="s">
        <v>284</v>
      </c>
      <c r="E96" s="2" t="b">
        <v>1</v>
      </c>
      <c r="F96" s="2">
        <v>0</v>
      </c>
      <c r="G96" s="2">
        <v>4</v>
      </c>
    </row>
    <row r="97" spans="1:7" x14ac:dyDescent="0.3">
      <c r="A97" s="3" t="s">
        <v>285</v>
      </c>
      <c r="B97" s="4" t="e">
        <f>#REF!</f>
        <v>#REF!</v>
      </c>
    </row>
    <row r="98" spans="1:7" x14ac:dyDescent="0.3">
      <c r="A98" s="3" t="s">
        <v>286</v>
      </c>
    </row>
    <row r="99" spans="1:7" x14ac:dyDescent="0.3">
      <c r="A99" s="3" t="s">
        <v>287</v>
      </c>
      <c r="B99" s="2" t="s">
        <v>288</v>
      </c>
      <c r="C99" s="2" t="s">
        <v>289</v>
      </c>
      <c r="D99" s="2" t="s">
        <v>290</v>
      </c>
      <c r="E99" s="2" t="b">
        <v>1</v>
      </c>
      <c r="F99" s="2">
        <v>0</v>
      </c>
      <c r="G99" s="2">
        <v>4</v>
      </c>
    </row>
    <row r="100" spans="1:7" x14ac:dyDescent="0.3">
      <c r="A100" s="3" t="s">
        <v>291</v>
      </c>
      <c r="B100" s="4" t="e">
        <f>#REF!</f>
        <v>#REF!</v>
      </c>
    </row>
    <row r="101" spans="1:7" x14ac:dyDescent="0.3">
      <c r="A101" s="3" t="s">
        <v>292</v>
      </c>
    </row>
    <row r="102" spans="1:7" x14ac:dyDescent="0.3">
      <c r="A102" s="3" t="s">
        <v>293</v>
      </c>
      <c r="B102" s="2" t="s">
        <v>294</v>
      </c>
      <c r="C102" s="2" t="s">
        <v>295</v>
      </c>
      <c r="D102" s="2" t="s">
        <v>296</v>
      </c>
      <c r="E102" s="2" t="b">
        <v>1</v>
      </c>
      <c r="F102" s="2">
        <v>0</v>
      </c>
      <c r="G102" s="2">
        <v>4</v>
      </c>
    </row>
    <row r="103" spans="1:7" x14ac:dyDescent="0.3">
      <c r="A103" s="3" t="s">
        <v>297</v>
      </c>
      <c r="B103" s="4" t="e">
        <f>#REF!</f>
        <v>#REF!</v>
      </c>
    </row>
    <row r="104" spans="1:7" x14ac:dyDescent="0.3">
      <c r="A104" s="3" t="s">
        <v>298</v>
      </c>
    </row>
    <row r="105" spans="1:7" x14ac:dyDescent="0.3">
      <c r="A105" s="3" t="s">
        <v>299</v>
      </c>
      <c r="B105" s="2" t="s">
        <v>300</v>
      </c>
      <c r="C105" s="2" t="s">
        <v>301</v>
      </c>
      <c r="D105" s="2" t="s">
        <v>302</v>
      </c>
      <c r="E105" s="2" t="b">
        <v>1</v>
      </c>
      <c r="F105" s="2">
        <v>0</v>
      </c>
      <c r="G105" s="2">
        <v>4</v>
      </c>
    </row>
    <row r="106" spans="1:7" x14ac:dyDescent="0.3">
      <c r="A106" s="3" t="s">
        <v>303</v>
      </c>
      <c r="B106" s="4" t="e">
        <f>#REF!</f>
        <v>#REF!</v>
      </c>
    </row>
    <row r="107" spans="1:7" x14ac:dyDescent="0.3">
      <c r="A107" s="3" t="s">
        <v>304</v>
      </c>
    </row>
    <row r="108" spans="1:7" x14ac:dyDescent="0.3">
      <c r="A108" s="3" t="s">
        <v>305</v>
      </c>
      <c r="B108" s="2" t="s">
        <v>306</v>
      </c>
      <c r="C108" s="2" t="s">
        <v>307</v>
      </c>
      <c r="D108" s="2" t="s">
        <v>308</v>
      </c>
      <c r="E108" s="2" t="b">
        <v>1</v>
      </c>
      <c r="F108" s="2">
        <v>0</v>
      </c>
      <c r="G108" s="2">
        <v>4</v>
      </c>
    </row>
    <row r="109" spans="1:7" x14ac:dyDescent="0.3">
      <c r="A109" s="3" t="s">
        <v>309</v>
      </c>
      <c r="B109" s="4" t="e">
        <f>#REF!</f>
        <v>#REF!</v>
      </c>
    </row>
    <row r="110" spans="1:7" x14ac:dyDescent="0.3">
      <c r="A110" s="3" t="s">
        <v>310</v>
      </c>
    </row>
    <row r="111" spans="1:7" x14ac:dyDescent="0.3">
      <c r="A111" s="3" t="s">
        <v>311</v>
      </c>
      <c r="B111" s="2" t="s">
        <v>312</v>
      </c>
      <c r="C111" s="2" t="s">
        <v>313</v>
      </c>
      <c r="D111" s="2" t="s">
        <v>314</v>
      </c>
      <c r="E111" s="2" t="b">
        <v>1</v>
      </c>
      <c r="F111" s="2">
        <v>0</v>
      </c>
      <c r="G111" s="2">
        <v>4</v>
      </c>
    </row>
    <row r="112" spans="1:7" x14ac:dyDescent="0.3">
      <c r="A112" s="3" t="s">
        <v>315</v>
      </c>
      <c r="B112" s="4" t="e">
        <f>#REF!</f>
        <v>#REF!</v>
      </c>
    </row>
    <row r="113" spans="1:7" x14ac:dyDescent="0.3">
      <c r="A113" s="3" t="s">
        <v>316</v>
      </c>
    </row>
    <row r="114" spans="1:7" x14ac:dyDescent="0.3">
      <c r="A114" s="3" t="s">
        <v>317</v>
      </c>
      <c r="B114" s="2" t="s">
        <v>318</v>
      </c>
      <c r="C114" s="2" t="s">
        <v>319</v>
      </c>
      <c r="D114" s="2" t="s">
        <v>320</v>
      </c>
      <c r="E114" s="2" t="b">
        <v>1</v>
      </c>
      <c r="F114" s="2">
        <v>0</v>
      </c>
      <c r="G114" s="2">
        <v>4</v>
      </c>
    </row>
    <row r="115" spans="1:7" x14ac:dyDescent="0.3">
      <c r="A115" s="3" t="s">
        <v>321</v>
      </c>
      <c r="B115" s="4" t="e">
        <f>#REF!</f>
        <v>#REF!</v>
      </c>
    </row>
    <row r="116" spans="1:7" x14ac:dyDescent="0.3">
      <c r="A116" s="3" t="s">
        <v>322</v>
      </c>
    </row>
    <row r="117" spans="1:7" x14ac:dyDescent="0.3">
      <c r="A117" s="3" t="s">
        <v>323</v>
      </c>
      <c r="B117" s="2" t="s">
        <v>324</v>
      </c>
      <c r="C117" s="2" t="s">
        <v>325</v>
      </c>
      <c r="D117" s="2" t="s">
        <v>326</v>
      </c>
      <c r="E117" s="2" t="b">
        <v>1</v>
      </c>
      <c r="F117" s="2">
        <v>0</v>
      </c>
      <c r="G117" s="2">
        <v>4</v>
      </c>
    </row>
    <row r="118" spans="1:7" x14ac:dyDescent="0.3">
      <c r="A118" s="3" t="s">
        <v>327</v>
      </c>
      <c r="B118" s="4" t="e">
        <f>#REF!</f>
        <v>#REF!</v>
      </c>
    </row>
    <row r="119" spans="1:7" x14ac:dyDescent="0.3">
      <c r="A119" s="3" t="s">
        <v>328</v>
      </c>
    </row>
    <row r="120" spans="1:7" x14ac:dyDescent="0.3">
      <c r="A120" s="3" t="s">
        <v>329</v>
      </c>
      <c r="B120" s="2" t="s">
        <v>330</v>
      </c>
      <c r="C120" s="2" t="s">
        <v>331</v>
      </c>
      <c r="D120" s="2" t="s">
        <v>332</v>
      </c>
      <c r="E120" s="2" t="b">
        <v>1</v>
      </c>
      <c r="F120" s="2">
        <v>0</v>
      </c>
      <c r="G120" s="2">
        <v>4</v>
      </c>
    </row>
    <row r="121" spans="1:7" x14ac:dyDescent="0.3">
      <c r="A121" s="3" t="s">
        <v>333</v>
      </c>
      <c r="B121" s="4" t="e">
        <f>#REF!</f>
        <v>#REF!</v>
      </c>
    </row>
    <row r="122" spans="1:7" x14ac:dyDescent="0.3">
      <c r="A122" s="3" t="s">
        <v>334</v>
      </c>
    </row>
    <row r="123" spans="1:7" x14ac:dyDescent="0.3">
      <c r="A123" s="3" t="s">
        <v>335</v>
      </c>
      <c r="B123" s="2" t="s">
        <v>336</v>
      </c>
      <c r="C123" s="2" t="s">
        <v>337</v>
      </c>
      <c r="D123" s="2" t="s">
        <v>338</v>
      </c>
      <c r="E123" s="2" t="b">
        <v>1</v>
      </c>
      <c r="F123" s="2">
        <v>0</v>
      </c>
      <c r="G123" s="2">
        <v>4</v>
      </c>
    </row>
    <row r="124" spans="1:7" x14ac:dyDescent="0.3">
      <c r="A124" s="3" t="s">
        <v>339</v>
      </c>
      <c r="B124" s="4" t="e">
        <f>#REF!</f>
        <v>#REF!</v>
      </c>
    </row>
    <row r="125" spans="1:7" x14ac:dyDescent="0.3">
      <c r="A125" s="3" t="s">
        <v>340</v>
      </c>
    </row>
    <row r="126" spans="1:7" x14ac:dyDescent="0.3">
      <c r="A126" s="3" t="s">
        <v>341</v>
      </c>
      <c r="B126" s="2" t="s">
        <v>342</v>
      </c>
      <c r="C126" s="2" t="s">
        <v>343</v>
      </c>
      <c r="D126" s="2" t="s">
        <v>344</v>
      </c>
      <c r="E126" s="2" t="b">
        <v>1</v>
      </c>
      <c r="F126" s="2">
        <v>0</v>
      </c>
      <c r="G126" s="2">
        <v>4</v>
      </c>
    </row>
    <row r="127" spans="1:7" x14ac:dyDescent="0.3">
      <c r="A127" s="3" t="s">
        <v>345</v>
      </c>
      <c r="B127" s="4" t="e">
        <f>#REF!</f>
        <v>#REF!</v>
      </c>
    </row>
    <row r="128" spans="1:7" x14ac:dyDescent="0.3">
      <c r="A128" s="3" t="s">
        <v>346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29"/>
  <sheetViews>
    <sheetView workbookViewId="0"/>
  </sheetViews>
  <sheetFormatPr defaultColWidth="30.6640625" defaultRowHeight="14.4" x14ac:dyDescent="0.3"/>
  <cols>
    <col min="1" max="1" width="30.6640625" style="3"/>
    <col min="2" max="16384" width="30.6640625" style="2"/>
  </cols>
  <sheetData>
    <row r="1" spans="1:20" x14ac:dyDescent="0.3">
      <c r="A1" s="3" t="s">
        <v>91</v>
      </c>
      <c r="B1" s="2" t="s">
        <v>347</v>
      </c>
      <c r="C1" s="2" t="s">
        <v>93</v>
      </c>
      <c r="D1" s="2">
        <v>5</v>
      </c>
      <c r="E1" s="2" t="s">
        <v>94</v>
      </c>
      <c r="F1" s="2">
        <v>7</v>
      </c>
      <c r="G1" s="2" t="s">
        <v>95</v>
      </c>
      <c r="H1" s="2">
        <v>1</v>
      </c>
      <c r="I1" s="2" t="s">
        <v>96</v>
      </c>
      <c r="J1" s="2">
        <v>1</v>
      </c>
      <c r="K1" s="2" t="s">
        <v>97</v>
      </c>
      <c r="L1" s="2">
        <v>0</v>
      </c>
      <c r="M1" s="2" t="s">
        <v>98</v>
      </c>
      <c r="N1" s="2">
        <v>0</v>
      </c>
      <c r="O1" s="2" t="s">
        <v>99</v>
      </c>
      <c r="P1" s="2">
        <v>1</v>
      </c>
      <c r="Q1" s="2" t="s">
        <v>100</v>
      </c>
      <c r="R1" s="2">
        <v>0</v>
      </c>
      <c r="S1" s="2" t="s">
        <v>101</v>
      </c>
      <c r="T1" s="2">
        <v>0</v>
      </c>
    </row>
    <row r="2" spans="1:20" x14ac:dyDescent="0.3">
      <c r="A2" s="3" t="s">
        <v>102</v>
      </c>
      <c r="B2" s="2" t="s">
        <v>348</v>
      </c>
    </row>
    <row r="3" spans="1:20" x14ac:dyDescent="0.3">
      <c r="A3" s="3" t="s">
        <v>104</v>
      </c>
      <c r="B3" s="2" t="b">
        <f>IF(B10&gt;256,"TripUpST110AndEarlier",FALSE)</f>
        <v>0</v>
      </c>
    </row>
    <row r="4" spans="1:20" x14ac:dyDescent="0.3">
      <c r="A4" s="3" t="s">
        <v>105</v>
      </c>
      <c r="B4" s="2" t="s">
        <v>106</v>
      </c>
    </row>
    <row r="5" spans="1:20" x14ac:dyDescent="0.3">
      <c r="A5" s="3" t="s">
        <v>107</v>
      </c>
      <c r="B5" s="2" t="b">
        <v>1</v>
      </c>
    </row>
    <row r="6" spans="1:20" x14ac:dyDescent="0.3">
      <c r="A6" s="3" t="s">
        <v>108</v>
      </c>
      <c r="B6" s="2" t="b">
        <v>1</v>
      </c>
    </row>
    <row r="7" spans="1:20" x14ac:dyDescent="0.3">
      <c r="A7" s="3" t="s">
        <v>109</v>
      </c>
      <c r="B7" s="2" t="e">
        <f>#REF!</f>
        <v>#REF!</v>
      </c>
    </row>
    <row r="8" spans="1:20" x14ac:dyDescent="0.3">
      <c r="A8" s="3" t="s">
        <v>110</v>
      </c>
      <c r="B8" s="2">
        <v>1</v>
      </c>
    </row>
    <row r="9" spans="1:20" x14ac:dyDescent="0.3">
      <c r="A9" s="3" t="s">
        <v>111</v>
      </c>
      <c r="B9" s="2">
        <f>1</f>
        <v>1</v>
      </c>
    </row>
    <row r="10" spans="1:20" x14ac:dyDescent="0.3">
      <c r="A10" s="3" t="s">
        <v>112</v>
      </c>
      <c r="B10" s="2">
        <v>6</v>
      </c>
    </row>
    <row r="12" spans="1:20" x14ac:dyDescent="0.3">
      <c r="A12" s="3" t="s">
        <v>113</v>
      </c>
      <c r="B12" s="2" t="s">
        <v>349</v>
      </c>
      <c r="C12" s="2" t="s">
        <v>115</v>
      </c>
      <c r="D12" s="2" t="s">
        <v>350</v>
      </c>
      <c r="E12" s="2" t="b">
        <v>1</v>
      </c>
      <c r="F12" s="2">
        <v>0</v>
      </c>
      <c r="G12" s="2">
        <v>4</v>
      </c>
    </row>
    <row r="13" spans="1:20" x14ac:dyDescent="0.3">
      <c r="A13" s="3" t="s">
        <v>117</v>
      </c>
      <c r="B13" s="2" t="e">
        <f>#REF!</f>
        <v>#REF!</v>
      </c>
    </row>
    <row r="14" spans="1:20" x14ac:dyDescent="0.3">
      <c r="A14" s="3" t="s">
        <v>118</v>
      </c>
    </row>
    <row r="15" spans="1:20" x14ac:dyDescent="0.3">
      <c r="A15" s="3" t="s">
        <v>119</v>
      </c>
      <c r="B15" s="2" t="s">
        <v>351</v>
      </c>
      <c r="C15" s="2" t="s">
        <v>121</v>
      </c>
      <c r="D15" s="2" t="s">
        <v>352</v>
      </c>
      <c r="E15" s="2" t="b">
        <v>1</v>
      </c>
      <c r="F15" s="2">
        <v>0</v>
      </c>
      <c r="G15" s="2">
        <v>4</v>
      </c>
    </row>
    <row r="16" spans="1:20" x14ac:dyDescent="0.3">
      <c r="A16" s="3" t="s">
        <v>123</v>
      </c>
      <c r="B16" s="2" t="e">
        <f>#REF!</f>
        <v>#REF!</v>
      </c>
    </row>
    <row r="17" spans="1:7" x14ac:dyDescent="0.3">
      <c r="A17" s="3" t="s">
        <v>124</v>
      </c>
    </row>
    <row r="18" spans="1:7" x14ac:dyDescent="0.3">
      <c r="A18" s="3" t="s">
        <v>125</v>
      </c>
      <c r="B18" s="2" t="s">
        <v>353</v>
      </c>
      <c r="C18" s="2" t="s">
        <v>127</v>
      </c>
      <c r="D18" s="2" t="s">
        <v>354</v>
      </c>
      <c r="E18" s="2" t="b">
        <v>1</v>
      </c>
      <c r="F18" s="2">
        <v>0</v>
      </c>
      <c r="G18" s="2">
        <v>4</v>
      </c>
    </row>
    <row r="19" spans="1:7" x14ac:dyDescent="0.3">
      <c r="A19" s="3" t="s">
        <v>129</v>
      </c>
      <c r="B19" s="2" t="e">
        <f>#REF!</f>
        <v>#REF!</v>
      </c>
    </row>
    <row r="20" spans="1:7" x14ac:dyDescent="0.3">
      <c r="A20" s="3" t="s">
        <v>130</v>
      </c>
    </row>
    <row r="21" spans="1:7" x14ac:dyDescent="0.3">
      <c r="A21" s="3" t="s">
        <v>131</v>
      </c>
      <c r="B21" s="2" t="s">
        <v>355</v>
      </c>
      <c r="C21" s="2" t="s">
        <v>133</v>
      </c>
      <c r="D21" s="2" t="s">
        <v>356</v>
      </c>
      <c r="E21" s="2" t="b">
        <v>1</v>
      </c>
      <c r="F21" s="2">
        <v>0</v>
      </c>
      <c r="G21" s="2">
        <v>4</v>
      </c>
    </row>
    <row r="22" spans="1:7" x14ac:dyDescent="0.3">
      <c r="A22" s="3" t="s">
        <v>135</v>
      </c>
      <c r="B22" s="2" t="e">
        <f>#REF!</f>
        <v>#REF!</v>
      </c>
    </row>
    <row r="23" spans="1:7" x14ac:dyDescent="0.3">
      <c r="A23" s="3" t="s">
        <v>136</v>
      </c>
    </row>
    <row r="24" spans="1:7" x14ac:dyDescent="0.3">
      <c r="A24" s="3" t="s">
        <v>137</v>
      </c>
      <c r="B24" s="2" t="s">
        <v>357</v>
      </c>
      <c r="C24" s="2" t="s">
        <v>139</v>
      </c>
      <c r="D24" s="2" t="s">
        <v>358</v>
      </c>
      <c r="E24" s="2" t="b">
        <v>1</v>
      </c>
      <c r="F24" s="2">
        <v>0</v>
      </c>
      <c r="G24" s="2">
        <v>4</v>
      </c>
    </row>
    <row r="25" spans="1:7" x14ac:dyDescent="0.3">
      <c r="A25" s="3" t="s">
        <v>141</v>
      </c>
      <c r="B25" s="2" t="e">
        <f>#REF!</f>
        <v>#REF!</v>
      </c>
    </row>
    <row r="26" spans="1:7" x14ac:dyDescent="0.3">
      <c r="A26" s="3" t="s">
        <v>142</v>
      </c>
    </row>
    <row r="27" spans="1:7" x14ac:dyDescent="0.3">
      <c r="A27" s="3" t="s">
        <v>143</v>
      </c>
      <c r="B27" s="2" t="s">
        <v>359</v>
      </c>
      <c r="C27" s="2" t="s">
        <v>145</v>
      </c>
      <c r="D27" s="2" t="s">
        <v>360</v>
      </c>
      <c r="E27" s="2" t="b">
        <v>1</v>
      </c>
      <c r="F27" s="2">
        <v>0</v>
      </c>
      <c r="G27" s="2">
        <v>4</v>
      </c>
    </row>
    <row r="28" spans="1:7" x14ac:dyDescent="0.3">
      <c r="A28" s="3" t="s">
        <v>147</v>
      </c>
      <c r="B28" s="2" t="e">
        <f>#REF!</f>
        <v>#REF!</v>
      </c>
    </row>
    <row r="29" spans="1:7" x14ac:dyDescent="0.3">
      <c r="A29" s="3" t="s">
        <v>148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17"/>
  <sheetViews>
    <sheetView workbookViewId="0"/>
  </sheetViews>
  <sheetFormatPr defaultColWidth="30.6640625" defaultRowHeight="14.4" x14ac:dyDescent="0.3"/>
  <cols>
    <col min="1" max="1" width="30.6640625" style="3"/>
    <col min="2" max="16384" width="30.6640625" style="2"/>
  </cols>
  <sheetData>
    <row r="1" spans="1:20" x14ac:dyDescent="0.3">
      <c r="A1" s="3" t="s">
        <v>91</v>
      </c>
      <c r="B1" s="2" t="s">
        <v>361</v>
      </c>
      <c r="C1" s="2" t="s">
        <v>93</v>
      </c>
      <c r="D1" s="2">
        <v>5</v>
      </c>
      <c r="E1" s="2" t="s">
        <v>94</v>
      </c>
      <c r="F1" s="2">
        <v>7</v>
      </c>
      <c r="G1" s="2" t="s">
        <v>95</v>
      </c>
      <c r="H1" s="2">
        <v>1</v>
      </c>
      <c r="I1" s="2" t="s">
        <v>96</v>
      </c>
      <c r="J1" s="2">
        <v>1</v>
      </c>
      <c r="K1" s="2" t="s">
        <v>97</v>
      </c>
      <c r="L1" s="2">
        <v>0</v>
      </c>
      <c r="M1" s="2" t="s">
        <v>98</v>
      </c>
      <c r="N1" s="2">
        <v>0</v>
      </c>
      <c r="O1" s="2" t="s">
        <v>99</v>
      </c>
      <c r="P1" s="2">
        <v>1</v>
      </c>
      <c r="Q1" s="2" t="s">
        <v>100</v>
      </c>
      <c r="R1" s="2">
        <v>0</v>
      </c>
      <c r="S1" s="2" t="s">
        <v>101</v>
      </c>
      <c r="T1" s="2">
        <v>0</v>
      </c>
    </row>
    <row r="2" spans="1:20" x14ac:dyDescent="0.3">
      <c r="A2" s="3" t="s">
        <v>102</v>
      </c>
      <c r="B2" s="2" t="s">
        <v>362</v>
      </c>
    </row>
    <row r="3" spans="1:20" x14ac:dyDescent="0.3">
      <c r="A3" s="3" t="s">
        <v>104</v>
      </c>
      <c r="B3" s="2" t="b">
        <f>IF(B10&gt;256,"TripUpST110AndEarlier",TRUE)</f>
        <v>1</v>
      </c>
    </row>
    <row r="4" spans="1:20" x14ac:dyDescent="0.3">
      <c r="A4" s="3" t="s">
        <v>105</v>
      </c>
      <c r="B4" s="2" t="s">
        <v>106</v>
      </c>
    </row>
    <row r="5" spans="1:20" x14ac:dyDescent="0.3">
      <c r="A5" s="3" t="s">
        <v>107</v>
      </c>
      <c r="B5" s="2" t="b">
        <v>1</v>
      </c>
    </row>
    <row r="6" spans="1:20" x14ac:dyDescent="0.3">
      <c r="A6" s="3" t="s">
        <v>108</v>
      </c>
      <c r="B6" s="2" t="b">
        <v>0</v>
      </c>
    </row>
    <row r="7" spans="1:20" x14ac:dyDescent="0.3">
      <c r="A7" s="3" t="s">
        <v>109</v>
      </c>
      <c r="B7" s="2" t="e">
        <f>#REF!</f>
        <v>#REF!</v>
      </c>
    </row>
    <row r="8" spans="1:20" x14ac:dyDescent="0.3">
      <c r="A8" s="3" t="s">
        <v>110</v>
      </c>
      <c r="B8" s="2">
        <v>1</v>
      </c>
    </row>
    <row r="9" spans="1:20" x14ac:dyDescent="0.3">
      <c r="A9" s="3" t="s">
        <v>111</v>
      </c>
      <c r="B9" s="2">
        <f>1</f>
        <v>1</v>
      </c>
    </row>
    <row r="10" spans="1:20" x14ac:dyDescent="0.3">
      <c r="A10" s="3" t="s">
        <v>112</v>
      </c>
      <c r="B10" s="2">
        <v>2</v>
      </c>
    </row>
    <row r="12" spans="1:20" x14ac:dyDescent="0.3">
      <c r="A12" s="3" t="s">
        <v>113</v>
      </c>
      <c r="B12" s="2" t="s">
        <v>363</v>
      </c>
      <c r="C12" s="2" t="s">
        <v>115</v>
      </c>
      <c r="D12" s="2" t="s">
        <v>364</v>
      </c>
      <c r="E12" s="2" t="b">
        <v>1</v>
      </c>
      <c r="F12" s="2">
        <v>0</v>
      </c>
      <c r="G12" s="2">
        <v>4</v>
      </c>
    </row>
    <row r="13" spans="1:20" x14ac:dyDescent="0.3">
      <c r="A13" s="3" t="s">
        <v>117</v>
      </c>
      <c r="B13" s="2" t="e">
        <f>#REF!</f>
        <v>#REF!</v>
      </c>
    </row>
    <row r="14" spans="1:20" x14ac:dyDescent="0.3">
      <c r="A14" s="3" t="s">
        <v>118</v>
      </c>
    </row>
    <row r="15" spans="1:20" x14ac:dyDescent="0.3">
      <c r="A15" s="3" t="s">
        <v>119</v>
      </c>
      <c r="B15" s="2" t="s">
        <v>365</v>
      </c>
      <c r="C15" s="2" t="s">
        <v>121</v>
      </c>
      <c r="D15" s="2" t="s">
        <v>366</v>
      </c>
      <c r="E15" s="2" t="b">
        <v>1</v>
      </c>
      <c r="F15" s="2">
        <v>0</v>
      </c>
      <c r="G15" s="2">
        <v>4</v>
      </c>
    </row>
    <row r="16" spans="1:20" x14ac:dyDescent="0.3">
      <c r="A16" s="3" t="s">
        <v>123</v>
      </c>
      <c r="B16" s="2" t="e">
        <f>#REF!</f>
        <v>#REF!</v>
      </c>
    </row>
    <row r="17" spans="1:1" x14ac:dyDescent="0.3">
      <c r="A17" s="3" t="s">
        <v>124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A26EB58BA96A40BA914B9D3EC4A51A" ma:contentTypeVersion="0" ma:contentTypeDescription="Create a new document." ma:contentTypeScope="" ma:versionID="d7f1dfc4e92be19396a6238ea66d763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B5C0CBE-336A-43E7-99B2-9085AD52F4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5B586C-7DCB-402A-AEA5-17D91A0D79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98C9E3-07BB-45F4-94DE-FA8C0FA49691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155DFE50-9FB1-4A2F-9460-8D54A7407A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Title Page</vt:lpstr>
      <vt:lpstr>Exhibit 1</vt:lpstr>
      <vt:lpstr>Exhibit 2</vt:lpstr>
      <vt:lpstr>Exhibit 3</vt:lpstr>
      <vt:lpstr>Exhibit 4</vt:lpstr>
      <vt:lpstr>Exhibit 5</vt:lpstr>
      <vt:lpstr>Summary_Population World_USA</vt:lpstr>
      <vt:lpstr>Worldwide Population</vt:lpstr>
      <vt:lpstr>USA Population</vt:lpstr>
      <vt:lpstr>_PalUtilTempWorksheet</vt:lpstr>
      <vt:lpstr>_STDS_DG203AA16</vt:lpstr>
      <vt:lpstr>_STDS_DG12A19417</vt:lpstr>
      <vt:lpstr>_STDS_DG32C09806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Yahoo's Acquisition of Tumblr (SPREADSHEET)</dc:title>
  <dc:creator>Kritzer, Andrew</dc:creator>
  <cp:lastModifiedBy>Ricardo Ferreira</cp:lastModifiedBy>
  <dcterms:created xsi:type="dcterms:W3CDTF">2013-05-23T16:44:23Z</dcterms:created>
  <dcterms:modified xsi:type="dcterms:W3CDTF">2018-01-29T12:20:08Z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0x01010034A26EB58BA96A40BA914B9D3EC4A51A</vt:lpwstr>
  </property>
  <property fmtid="{D5CDD505-2E9C-101B-9397-08002B2CF9AE}" pid="3" name="Order">
    <vt:r8>86300</vt:r8>
  </property>
</Properties>
</file>